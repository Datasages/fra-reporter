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tippey\Desktop\"/>
    </mc:Choice>
  </mc:AlternateContent>
  <bookViews>
    <workbookView xWindow="0" yWindow="0" windowWidth="28800" windowHeight="12450" activeTab="2"/>
  </bookViews>
  <sheets>
    <sheet name="Cover Sheet" sheetId="1" r:id="rId1"/>
    <sheet name="Summary Of Locos Not Active" sheetId="2" r:id="rId2"/>
    <sheet name="Summary Of Locos with CDF" sheetId="4" r:id="rId3"/>
    <sheet name="Each 2080 Received by BO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G8" i="2" s="1"/>
  <c r="G9" i="2" s="1"/>
  <c r="G10" i="2" s="1"/>
  <c r="G11" i="2" s="1"/>
  <c r="G12" i="2" s="1"/>
  <c r="G13" i="2" s="1"/>
  <c r="G14" i="2" s="1"/>
  <c r="G15" i="2" s="1"/>
  <c r="G16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E3" i="3" l="1"/>
  <c r="E4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K4" i="3" l="1"/>
  <c r="E5" i="3"/>
  <c r="K3" i="3"/>
  <c r="E6" i="3" l="1"/>
  <c r="K5" i="3"/>
  <c r="E7" i="3" l="1"/>
  <c r="K6" i="3"/>
  <c r="E8" i="3" l="1"/>
  <c r="K7" i="3"/>
  <c r="E9" i="3" l="1"/>
  <c r="K8" i="3"/>
  <c r="E10" i="3" l="1"/>
  <c r="K9" i="3"/>
  <c r="E11" i="3" l="1"/>
  <c r="K10" i="3"/>
  <c r="E12" i="3" l="1"/>
  <c r="K11" i="3"/>
  <c r="E13" i="3" l="1"/>
  <c r="K12" i="3"/>
  <c r="E14" i="3" l="1"/>
  <c r="K13" i="3"/>
  <c r="E15" i="3" l="1"/>
  <c r="K14" i="3"/>
  <c r="E16" i="3" l="1"/>
  <c r="K15" i="3"/>
  <c r="E17" i="3" l="1"/>
  <c r="K16" i="3"/>
  <c r="E18" i="3" l="1"/>
  <c r="K18" i="3" s="1"/>
  <c r="K17" i="3"/>
</calcChain>
</file>

<file path=xl/sharedStrings.xml><?xml version="1.0" encoding="utf-8"?>
<sst xmlns="http://schemas.openxmlformats.org/spreadsheetml/2006/main" count="264" uniqueCount="87">
  <si>
    <t>Loco ID</t>
  </si>
  <si>
    <t>Subdivision</t>
  </si>
  <si>
    <t>Number of Locos sending "Cut-out" "Disengaged" "Failed"</t>
  </si>
  <si>
    <t>Approx Time (UTC)</t>
  </si>
  <si>
    <t>A</t>
  </si>
  <si>
    <t>C</t>
  </si>
  <si>
    <t>B</t>
  </si>
  <si>
    <t>D</t>
  </si>
  <si>
    <t>Summary Of Locomotives With "Cut-out" "Disengaged" "Failed"</t>
  </si>
  <si>
    <t>MilePost</t>
  </si>
  <si>
    <t>GPS (ECEF) X</t>
  </si>
  <si>
    <t>GPS (ECEF) Y</t>
  </si>
  <si>
    <t>GPS (ECEF) Z</t>
  </si>
  <si>
    <t>Number of Locos Not Transitioning to Active</t>
  </si>
  <si>
    <t>Summary Of Locomotives Not Transitioning to Active</t>
  </si>
  <si>
    <t>Status</t>
  </si>
  <si>
    <t>Cut-out</t>
  </si>
  <si>
    <t>Disengaged</t>
  </si>
  <si>
    <t>Failed</t>
  </si>
  <si>
    <t xml:space="preserve">Failed </t>
  </si>
  <si>
    <t>Train ID</t>
  </si>
  <si>
    <t>AMTK-0003</t>
  </si>
  <si>
    <t>AMTK-0001</t>
  </si>
  <si>
    <t>AMTK-0002</t>
  </si>
  <si>
    <t>AMTK-0103</t>
  </si>
  <si>
    <t>AMTK-0104</t>
  </si>
  <si>
    <t>AMTK-0106</t>
  </si>
  <si>
    <t>AMTK-0107</t>
  </si>
  <si>
    <t>AMTK-0108</t>
  </si>
  <si>
    <t>AMTK-0005</t>
  </si>
  <si>
    <t>AMTK-0004</t>
  </si>
  <si>
    <t xml:space="preserve">PTC Authority Reference Number </t>
  </si>
  <si>
    <t>Head End Milepost</t>
  </si>
  <si>
    <t xml:space="preserve">Head End Milepost Prefix </t>
  </si>
  <si>
    <t>Head End Milepost Suffix</t>
  </si>
  <si>
    <t>Head End Track Name</t>
  </si>
  <si>
    <t>Head End Railroad SCAC</t>
  </si>
  <si>
    <t>Head End PTC Subdivision/District ID</t>
  </si>
  <si>
    <t>Rear End Milepost</t>
  </si>
  <si>
    <t>Rear End Milepost Prefix</t>
  </si>
  <si>
    <t>Rear End Milepost Suffix</t>
  </si>
  <si>
    <t>Rear End Track Name</t>
  </si>
  <si>
    <t>Rear End Railroad SCAC</t>
  </si>
  <si>
    <t>Rear End PTC Subdivision /District ID</t>
  </si>
  <si>
    <t>Speed</t>
  </si>
  <si>
    <t>Current Position Uncertainity</t>
  </si>
  <si>
    <t>Direction of Travel</t>
  </si>
  <si>
    <t>Head End Current Position</t>
  </si>
  <si>
    <t>Position Validity</t>
  </si>
  <si>
    <t>Reason For Report</t>
  </si>
  <si>
    <t>Locomotive State Time</t>
  </si>
  <si>
    <t xml:space="preserve">Locomotive State Summary </t>
  </si>
  <si>
    <t>Locomotive State</t>
  </si>
  <si>
    <t>Control Brake</t>
  </si>
  <si>
    <t>Time Elasped Parameter</t>
  </si>
  <si>
    <t>Distance Elapsed Parameter</t>
  </si>
  <si>
    <t>Time</t>
  </si>
  <si>
    <t>Initializing</t>
  </si>
  <si>
    <t>Onboard System State Change</t>
  </si>
  <si>
    <t>Non-Controlling</t>
  </si>
  <si>
    <t>Fields Are Parsed From Another Message</t>
  </si>
  <si>
    <t>2080 Message Fields</t>
  </si>
  <si>
    <t>LocoID/Mark</t>
  </si>
  <si>
    <t>AMTK</t>
  </si>
  <si>
    <t>Active</t>
  </si>
  <si>
    <t>HeadEnd Track</t>
  </si>
  <si>
    <t>RearEnd Track</t>
  </si>
  <si>
    <t>Alpha</t>
  </si>
  <si>
    <t>Beta</t>
  </si>
  <si>
    <t>Date</t>
  </si>
  <si>
    <t>2020-8-1T 01:15:00 PM</t>
  </si>
  <si>
    <t>2020-8-2 T2:00:00 PM</t>
  </si>
  <si>
    <t>2020-8-3T 3:00:00 PM</t>
  </si>
  <si>
    <t>2020-8-1 T1:30:00 PM</t>
  </si>
  <si>
    <t>2020-8-2 T6:00:00 PM</t>
  </si>
  <si>
    <t>2020-8-1 T3:00:00 PM</t>
  </si>
  <si>
    <t>2020-8-1 T6:00:00 PM</t>
  </si>
  <si>
    <t>2020-8-3 T9:00:00 PM</t>
  </si>
  <si>
    <t>2020-8-1 T8:00:00 PM</t>
  </si>
  <si>
    <t>2020-8-1 T11:00:00 PM</t>
  </si>
  <si>
    <t>2020-8-1T 1:00:00 PM</t>
  </si>
  <si>
    <t>2020-8-2T 2:00:00 PM</t>
  </si>
  <si>
    <t>2020-8-3T 5:00:00 PM</t>
  </si>
  <si>
    <t>AMTRAK Monthly Locomotive Position Report</t>
  </si>
  <si>
    <t>Begin MP</t>
  </si>
  <si>
    <t>End MP</t>
  </si>
  <si>
    <t>SCAC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</si>
</sst>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18" fontId="0" fillId="0" borderId="9" xfId="0" applyNumberFormat="1" applyBorder="1" applyAlignment="1">
      <alignment horizontal="center"/>
    </xf>
    <xf numFmtId="18" fontId="3" fillId="0" borderId="0" xfId="0" applyNumberFormat="1" applyFont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9" xfId="0" applyBorder="1"/>
    <xf numFmtId="18" fontId="3" fillId="0" borderId="9" xfId="0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8" fontId="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" fontId="0" fillId="0" borderId="9" xfId="0" applyNumberForma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8" fontId="0" fillId="0" borderId="1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C20" sqref="C20"/>
    </sheetView>
  </sheetViews>
  <sheetFormatPr defaultRowHeight="15" x14ac:dyDescent="0.25"/>
  <cols>
    <col min="1" max="1" width="40.140625" customWidth="1"/>
    <col min="3" max="3" width="51.42578125" customWidth="1"/>
  </cols>
  <sheetData>
    <row r="1" spans="1:10" x14ac:dyDescent="0.25">
      <c r="A1" s="18" t="s">
        <v>83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x14ac:dyDescent="0.25">
      <c r="A2" s="21"/>
      <c r="B2" s="22"/>
      <c r="C2" s="22"/>
      <c r="D2" s="22"/>
      <c r="E2" s="22"/>
      <c r="F2" s="22"/>
      <c r="G2" s="22"/>
      <c r="H2" s="22"/>
      <c r="I2" s="22"/>
      <c r="J2" s="23"/>
    </row>
    <row r="3" spans="1:10" x14ac:dyDescent="0.25">
      <c r="A3" s="21"/>
      <c r="B3" s="22"/>
      <c r="C3" s="22"/>
      <c r="D3" s="22"/>
      <c r="E3" s="22"/>
      <c r="F3" s="22"/>
      <c r="G3" s="22"/>
      <c r="H3" s="22"/>
      <c r="I3" s="22"/>
      <c r="J3" s="23"/>
    </row>
    <row r="4" spans="1:10" x14ac:dyDescent="0.25">
      <c r="A4" s="21"/>
      <c r="B4" s="22"/>
      <c r="C4" s="22"/>
      <c r="D4" s="22"/>
      <c r="E4" s="22"/>
      <c r="F4" s="22"/>
      <c r="G4" s="22"/>
      <c r="H4" s="22"/>
      <c r="I4" s="22"/>
      <c r="J4" s="23"/>
    </row>
    <row r="5" spans="1:10" x14ac:dyDescent="0.25">
      <c r="A5" s="21"/>
      <c r="B5" s="22"/>
      <c r="C5" s="22"/>
      <c r="D5" s="22"/>
      <c r="E5" s="22"/>
      <c r="F5" s="22"/>
      <c r="G5" s="22"/>
      <c r="H5" s="22"/>
      <c r="I5" s="22"/>
      <c r="J5" s="23"/>
    </row>
    <row r="6" spans="1:10" x14ac:dyDescent="0.25">
      <c r="A6" s="21"/>
      <c r="B6" s="22"/>
      <c r="C6" s="22"/>
      <c r="D6" s="22"/>
      <c r="E6" s="22"/>
      <c r="F6" s="22"/>
      <c r="G6" s="22"/>
      <c r="H6" s="22"/>
      <c r="I6" s="22"/>
      <c r="J6" s="23"/>
    </row>
    <row r="7" spans="1:10" x14ac:dyDescent="0.25">
      <c r="A7" s="21"/>
      <c r="B7" s="22"/>
      <c r="C7" s="22"/>
      <c r="D7" s="22"/>
      <c r="E7" s="22"/>
      <c r="F7" s="22"/>
      <c r="G7" s="22"/>
      <c r="H7" s="22"/>
      <c r="I7" s="22"/>
      <c r="J7" s="23"/>
    </row>
    <row r="8" spans="1:10" x14ac:dyDescent="0.25">
      <c r="A8" s="21"/>
      <c r="B8" s="22"/>
      <c r="C8" s="22"/>
      <c r="D8" s="22"/>
      <c r="E8" s="22"/>
      <c r="F8" s="22"/>
      <c r="G8" s="22"/>
      <c r="H8" s="22"/>
      <c r="I8" s="22"/>
      <c r="J8" s="23"/>
    </row>
    <row r="9" spans="1:10" x14ac:dyDescent="0.25">
      <c r="A9" s="21"/>
      <c r="B9" s="22"/>
      <c r="C9" s="22"/>
      <c r="D9" s="22"/>
      <c r="E9" s="22"/>
      <c r="F9" s="22"/>
      <c r="G9" s="22"/>
      <c r="H9" s="22"/>
      <c r="I9" s="22"/>
      <c r="J9" s="23"/>
    </row>
    <row r="10" spans="1:10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3"/>
    </row>
    <row r="11" spans="1:10" ht="15.75" thickBot="1" x14ac:dyDescent="0.3">
      <c r="A11" s="24"/>
      <c r="B11" s="25"/>
      <c r="C11" s="25"/>
      <c r="D11" s="25"/>
      <c r="E11" s="25"/>
      <c r="F11" s="25"/>
      <c r="G11" s="25"/>
      <c r="H11" s="25"/>
      <c r="I11" s="25"/>
      <c r="J11" s="26"/>
    </row>
    <row r="13" spans="1:10" x14ac:dyDescent="0.25">
      <c r="A13" s="1" t="s">
        <v>13</v>
      </c>
      <c r="C13" t="s">
        <v>2</v>
      </c>
    </row>
    <row r="14" spans="1:10" x14ac:dyDescent="0.25">
      <c r="A14">
        <v>10</v>
      </c>
      <c r="C14">
        <v>5</v>
      </c>
    </row>
    <row r="28" spans="9:9" x14ac:dyDescent="0.25">
      <c r="I28" s="2"/>
    </row>
  </sheetData>
  <mergeCells count="1">
    <mergeCell ref="A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D19" sqref="D19"/>
    </sheetView>
  </sheetViews>
  <sheetFormatPr defaultRowHeight="15" x14ac:dyDescent="0.25"/>
  <cols>
    <col min="2" max="3" width="12.7109375" style="1" customWidth="1"/>
    <col min="4" max="4" width="20.5703125" style="1" customWidth="1"/>
    <col min="5" max="5" width="20.7109375" style="1" customWidth="1"/>
  </cols>
  <sheetData>
    <row r="1" spans="1:15" ht="15" customHeight="1" x14ac:dyDescent="0.25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ht="1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15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x14ac:dyDescent="0.25">
      <c r="A5" s="14" t="s">
        <v>20</v>
      </c>
      <c r="B5" s="15" t="s">
        <v>0</v>
      </c>
      <c r="C5" s="15" t="s">
        <v>86</v>
      </c>
      <c r="D5" s="15" t="s">
        <v>3</v>
      </c>
      <c r="E5" s="15" t="s">
        <v>1</v>
      </c>
      <c r="F5" s="6" t="s">
        <v>84</v>
      </c>
      <c r="G5" s="6" t="s">
        <v>85</v>
      </c>
    </row>
    <row r="6" spans="1:15" x14ac:dyDescent="0.25">
      <c r="A6" s="7">
        <v>100</v>
      </c>
      <c r="B6" s="3" t="s">
        <v>21</v>
      </c>
      <c r="C6" s="3" t="s">
        <v>63</v>
      </c>
      <c r="D6" s="5" t="s">
        <v>70</v>
      </c>
      <c r="E6" s="3" t="s">
        <v>4</v>
      </c>
      <c r="F6" s="7">
        <v>1</v>
      </c>
      <c r="G6" s="7">
        <v>2</v>
      </c>
    </row>
    <row r="7" spans="1:15" x14ac:dyDescent="0.25">
      <c r="A7" s="7">
        <v>100</v>
      </c>
      <c r="B7" s="3" t="s">
        <v>22</v>
      </c>
      <c r="C7" s="3" t="s">
        <v>63</v>
      </c>
      <c r="D7" s="38" t="s">
        <v>71</v>
      </c>
      <c r="E7" s="3" t="s">
        <v>4</v>
      </c>
      <c r="F7" s="7">
        <f>F6+10</f>
        <v>11</v>
      </c>
      <c r="G7" s="7">
        <f>G6+10</f>
        <v>12</v>
      </c>
    </row>
    <row r="8" spans="1:15" x14ac:dyDescent="0.25">
      <c r="A8" s="7">
        <v>100</v>
      </c>
      <c r="B8" s="3" t="s">
        <v>23</v>
      </c>
      <c r="C8" s="3" t="s">
        <v>63</v>
      </c>
      <c r="D8" s="38" t="s">
        <v>72</v>
      </c>
      <c r="E8" s="3" t="s">
        <v>6</v>
      </c>
      <c r="F8" s="7">
        <f t="shared" ref="F8:G16" si="0">F7+10</f>
        <v>21</v>
      </c>
      <c r="G8" s="7">
        <f t="shared" si="0"/>
        <v>22</v>
      </c>
    </row>
    <row r="9" spans="1:15" x14ac:dyDescent="0.25">
      <c r="A9" s="7">
        <v>200</v>
      </c>
      <c r="B9" s="3" t="s">
        <v>24</v>
      </c>
      <c r="C9" s="3" t="s">
        <v>63</v>
      </c>
      <c r="D9" s="38" t="s">
        <v>73</v>
      </c>
      <c r="E9" s="3" t="s">
        <v>6</v>
      </c>
      <c r="F9" s="7">
        <f t="shared" si="0"/>
        <v>31</v>
      </c>
      <c r="G9" s="7">
        <f t="shared" si="0"/>
        <v>32</v>
      </c>
    </row>
    <row r="10" spans="1:15" x14ac:dyDescent="0.25">
      <c r="A10" s="7">
        <v>200</v>
      </c>
      <c r="B10" s="3" t="s">
        <v>25</v>
      </c>
      <c r="C10" s="3" t="s">
        <v>63</v>
      </c>
      <c r="D10" s="38" t="s">
        <v>71</v>
      </c>
      <c r="E10" s="3" t="s">
        <v>5</v>
      </c>
      <c r="F10" s="7">
        <f t="shared" si="0"/>
        <v>41</v>
      </c>
      <c r="G10" s="7">
        <f t="shared" si="0"/>
        <v>42</v>
      </c>
    </row>
    <row r="11" spans="1:15" x14ac:dyDescent="0.25">
      <c r="A11" s="7">
        <v>200</v>
      </c>
      <c r="B11" s="3" t="s">
        <v>22</v>
      </c>
      <c r="C11" s="3" t="s">
        <v>63</v>
      </c>
      <c r="D11" s="38" t="s">
        <v>74</v>
      </c>
      <c r="E11" s="3" t="s">
        <v>5</v>
      </c>
      <c r="F11" s="7">
        <f t="shared" si="0"/>
        <v>51</v>
      </c>
      <c r="G11" s="7">
        <f t="shared" si="0"/>
        <v>52</v>
      </c>
    </row>
    <row r="12" spans="1:15" x14ac:dyDescent="0.25">
      <c r="A12" s="7">
        <v>300</v>
      </c>
      <c r="B12" s="3" t="s">
        <v>26</v>
      </c>
      <c r="C12" s="3" t="s">
        <v>63</v>
      </c>
      <c r="D12" s="38" t="s">
        <v>75</v>
      </c>
      <c r="E12" s="3" t="s">
        <v>7</v>
      </c>
      <c r="F12" s="7">
        <f t="shared" si="0"/>
        <v>61</v>
      </c>
      <c r="G12" s="7">
        <f t="shared" si="0"/>
        <v>62</v>
      </c>
    </row>
    <row r="13" spans="1:15" x14ac:dyDescent="0.25">
      <c r="A13" s="7">
        <v>300</v>
      </c>
      <c r="B13" s="3" t="s">
        <v>27</v>
      </c>
      <c r="C13" s="3" t="s">
        <v>63</v>
      </c>
      <c r="D13" s="38" t="s">
        <v>76</v>
      </c>
      <c r="E13" s="3" t="s">
        <v>7</v>
      </c>
      <c r="F13" s="7">
        <f t="shared" si="0"/>
        <v>71</v>
      </c>
      <c r="G13" s="7">
        <f t="shared" si="0"/>
        <v>72</v>
      </c>
    </row>
    <row r="14" spans="1:15" x14ac:dyDescent="0.25">
      <c r="A14" s="7">
        <v>300</v>
      </c>
      <c r="B14" s="3" t="s">
        <v>28</v>
      </c>
      <c r="C14" s="3" t="s">
        <v>63</v>
      </c>
      <c r="D14" s="38" t="s">
        <v>77</v>
      </c>
      <c r="E14" s="3" t="s">
        <v>4</v>
      </c>
      <c r="F14" s="7">
        <f t="shared" si="0"/>
        <v>81</v>
      </c>
      <c r="G14" s="7">
        <f t="shared" si="0"/>
        <v>82</v>
      </c>
    </row>
    <row r="15" spans="1:15" x14ac:dyDescent="0.25">
      <c r="A15" s="7">
        <v>400</v>
      </c>
      <c r="B15" s="3" t="s">
        <v>22</v>
      </c>
      <c r="C15" s="3" t="s">
        <v>63</v>
      </c>
      <c r="D15" s="38" t="s">
        <v>78</v>
      </c>
      <c r="E15" s="3" t="s">
        <v>4</v>
      </c>
      <c r="F15" s="7">
        <f t="shared" si="0"/>
        <v>91</v>
      </c>
      <c r="G15" s="7">
        <f t="shared" si="0"/>
        <v>92</v>
      </c>
    </row>
    <row r="16" spans="1:15" x14ac:dyDescent="0.25">
      <c r="A16" s="7">
        <v>400</v>
      </c>
      <c r="B16" s="3" t="s">
        <v>29</v>
      </c>
      <c r="C16" s="3" t="s">
        <v>63</v>
      </c>
      <c r="D16" s="38" t="s">
        <v>79</v>
      </c>
      <c r="E16" s="3" t="s">
        <v>4</v>
      </c>
      <c r="F16" s="7">
        <f t="shared" si="0"/>
        <v>101</v>
      </c>
      <c r="G16" s="7">
        <f t="shared" si="0"/>
        <v>102</v>
      </c>
    </row>
  </sheetData>
  <mergeCells count="1">
    <mergeCell ref="A1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P13" sqref="P13"/>
    </sheetView>
  </sheetViews>
  <sheetFormatPr defaultRowHeight="15" x14ac:dyDescent="0.25"/>
  <cols>
    <col min="1" max="1" width="12.7109375" style="1" customWidth="1"/>
    <col min="2" max="4" width="11.85546875" style="1" customWidth="1"/>
    <col min="5" max="6" width="20.5703125" style="1" customWidth="1"/>
    <col min="7" max="7" width="20.7109375" style="1" customWidth="1"/>
    <col min="8" max="10" width="19.5703125" customWidth="1"/>
    <col min="11" max="11" width="16" customWidth="1"/>
    <col min="12" max="12" width="17" customWidth="1"/>
    <col min="13" max="13" width="17.140625" customWidth="1"/>
  </cols>
  <sheetData>
    <row r="1" spans="1:19" x14ac:dyDescent="0.25">
      <c r="A1" s="28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</row>
    <row r="2" spans="1:19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ht="15.75" thickBot="1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4"/>
      <c r="O4" s="34"/>
      <c r="P4" s="34"/>
      <c r="Q4" s="34"/>
      <c r="R4" s="34"/>
      <c r="S4" s="35"/>
    </row>
    <row r="5" spans="1:19" x14ac:dyDescent="0.25">
      <c r="A5" s="3" t="s">
        <v>20</v>
      </c>
      <c r="B5" s="3" t="s">
        <v>0</v>
      </c>
      <c r="C5" s="3" t="s">
        <v>86</v>
      </c>
      <c r="D5" s="3" t="s">
        <v>69</v>
      </c>
      <c r="E5" s="3" t="s">
        <v>3</v>
      </c>
      <c r="F5" s="3" t="s">
        <v>15</v>
      </c>
      <c r="G5" s="3" t="s">
        <v>1</v>
      </c>
      <c r="H5" s="6" t="s">
        <v>9</v>
      </c>
      <c r="I5" s="6" t="s">
        <v>65</v>
      </c>
      <c r="J5" s="6" t="s">
        <v>66</v>
      </c>
      <c r="K5" s="6" t="s">
        <v>10</v>
      </c>
      <c r="L5" s="3" t="s">
        <v>11</v>
      </c>
      <c r="M5" s="6" t="s">
        <v>12</v>
      </c>
      <c r="N5" s="6" t="s">
        <v>84</v>
      </c>
      <c r="O5" s="6" t="s">
        <v>85</v>
      </c>
    </row>
    <row r="6" spans="1:19" x14ac:dyDescent="0.25">
      <c r="A6" s="3">
        <v>400</v>
      </c>
      <c r="B6" s="3" t="s">
        <v>22</v>
      </c>
      <c r="C6" s="3" t="s">
        <v>63</v>
      </c>
      <c r="D6" s="17">
        <v>44044</v>
      </c>
      <c r="E6" s="8" t="s">
        <v>80</v>
      </c>
      <c r="F6" s="8" t="s">
        <v>16</v>
      </c>
      <c r="G6" s="3" t="s">
        <v>4</v>
      </c>
      <c r="H6" s="7">
        <v>45</v>
      </c>
      <c r="I6" s="12" t="s">
        <v>67</v>
      </c>
      <c r="J6" s="12" t="s">
        <v>68</v>
      </c>
      <c r="K6" s="7"/>
      <c r="L6" s="3"/>
      <c r="M6" s="3"/>
      <c r="N6" s="7"/>
      <c r="O6" s="7"/>
    </row>
    <row r="7" spans="1:19" x14ac:dyDescent="0.25">
      <c r="A7" s="3">
        <v>400</v>
      </c>
      <c r="B7" s="3" t="s">
        <v>23</v>
      </c>
      <c r="C7" s="3" t="s">
        <v>63</v>
      </c>
      <c r="D7" s="17">
        <v>44045</v>
      </c>
      <c r="E7" s="4" t="s">
        <v>81</v>
      </c>
      <c r="F7" s="4" t="s">
        <v>17</v>
      </c>
      <c r="G7" s="3" t="s">
        <v>4</v>
      </c>
      <c r="H7" s="7">
        <v>105</v>
      </c>
      <c r="I7" s="12" t="s">
        <v>67</v>
      </c>
      <c r="J7" s="12" t="s">
        <v>68</v>
      </c>
      <c r="K7" s="7"/>
      <c r="L7" s="3"/>
      <c r="M7" s="3"/>
      <c r="N7" s="7"/>
      <c r="O7" s="7"/>
    </row>
    <row r="8" spans="1:19" x14ac:dyDescent="0.25">
      <c r="A8" s="3">
        <v>500</v>
      </c>
      <c r="B8" s="3" t="s">
        <v>22</v>
      </c>
      <c r="C8" s="3" t="s">
        <v>63</v>
      </c>
      <c r="D8" s="17">
        <v>44044</v>
      </c>
      <c r="E8" s="4" t="s">
        <v>80</v>
      </c>
      <c r="F8" s="4" t="s">
        <v>18</v>
      </c>
      <c r="G8" s="3" t="s">
        <v>6</v>
      </c>
      <c r="H8" s="7">
        <v>88</v>
      </c>
      <c r="I8" s="12" t="s">
        <v>67</v>
      </c>
      <c r="J8" s="12" t="s">
        <v>68</v>
      </c>
      <c r="K8" s="7"/>
      <c r="L8" s="3"/>
      <c r="M8" s="3"/>
      <c r="N8" s="7"/>
      <c r="O8" s="7"/>
    </row>
    <row r="9" spans="1:19" x14ac:dyDescent="0.25">
      <c r="A9" s="3">
        <v>500</v>
      </c>
      <c r="B9" s="3" t="s">
        <v>23</v>
      </c>
      <c r="C9" s="3" t="s">
        <v>63</v>
      </c>
      <c r="D9" s="17">
        <v>44044</v>
      </c>
      <c r="E9" s="4" t="s">
        <v>81</v>
      </c>
      <c r="F9" s="4" t="s">
        <v>19</v>
      </c>
      <c r="G9" s="3" t="s">
        <v>6</v>
      </c>
      <c r="H9" s="7">
        <v>93</v>
      </c>
      <c r="I9" s="12" t="s">
        <v>67</v>
      </c>
      <c r="J9" s="12" t="s">
        <v>68</v>
      </c>
      <c r="K9" s="7"/>
      <c r="L9" s="3"/>
      <c r="M9" s="3"/>
      <c r="N9" s="7"/>
      <c r="O9" s="7"/>
    </row>
    <row r="10" spans="1:19" x14ac:dyDescent="0.25">
      <c r="A10" s="3">
        <v>500</v>
      </c>
      <c r="B10" s="3" t="s">
        <v>30</v>
      </c>
      <c r="C10" s="3" t="s">
        <v>63</v>
      </c>
      <c r="D10" s="17">
        <v>44045</v>
      </c>
      <c r="E10" s="4" t="s">
        <v>82</v>
      </c>
      <c r="F10" s="4" t="s">
        <v>17</v>
      </c>
      <c r="G10" s="3" t="s">
        <v>5</v>
      </c>
      <c r="H10" s="7">
        <v>22</v>
      </c>
      <c r="I10" s="12" t="s">
        <v>67</v>
      </c>
      <c r="J10" s="12" t="s">
        <v>68</v>
      </c>
      <c r="K10" s="7"/>
      <c r="L10" s="3"/>
      <c r="M10" s="3"/>
      <c r="N10" s="7"/>
      <c r="O10" s="7"/>
    </row>
    <row r="11" spans="1:19" x14ac:dyDescent="0.25">
      <c r="A11"/>
      <c r="B11"/>
      <c r="C11"/>
      <c r="D11"/>
      <c r="E11"/>
      <c r="F11"/>
      <c r="G11"/>
    </row>
    <row r="12" spans="1:19" x14ac:dyDescent="0.25">
      <c r="A12"/>
      <c r="B12"/>
      <c r="C12"/>
      <c r="D12"/>
      <c r="E12"/>
      <c r="F12"/>
      <c r="G12"/>
    </row>
    <row r="13" spans="1:19" x14ac:dyDescent="0.25">
      <c r="A13"/>
      <c r="B13"/>
      <c r="C13"/>
      <c r="D13"/>
      <c r="E13"/>
      <c r="F13"/>
      <c r="G13"/>
    </row>
    <row r="14" spans="1:19" x14ac:dyDescent="0.25">
      <c r="A14"/>
      <c r="B14"/>
      <c r="C14"/>
      <c r="D14"/>
      <c r="E14"/>
      <c r="F14"/>
      <c r="G14"/>
    </row>
    <row r="15" spans="1:19" x14ac:dyDescent="0.25">
      <c r="A15"/>
      <c r="B15"/>
      <c r="C15"/>
      <c r="D15"/>
      <c r="E15"/>
      <c r="F15"/>
      <c r="G15"/>
    </row>
    <row r="16" spans="1:19" x14ac:dyDescent="0.25">
      <c r="A16"/>
      <c r="B16"/>
      <c r="C16"/>
      <c r="D16"/>
      <c r="E16"/>
      <c r="F16"/>
      <c r="G16"/>
    </row>
  </sheetData>
  <mergeCells count="1">
    <mergeCell ref="A1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workbookViewId="0">
      <selection activeCell="W3" sqref="W3:W18"/>
    </sheetView>
  </sheetViews>
  <sheetFormatPr defaultRowHeight="15" x14ac:dyDescent="0.25"/>
  <cols>
    <col min="1" max="1" width="9.140625" style="9"/>
    <col min="2" max="2" width="23.7109375" style="9" customWidth="1"/>
    <col min="3" max="3" width="14.28515625" style="9" customWidth="1"/>
    <col min="4" max="4" width="31.5703125" style="9" customWidth="1"/>
    <col min="5" max="5" width="17.85546875" style="9" customWidth="1"/>
    <col min="6" max="6" width="14.85546875" style="9" customWidth="1"/>
    <col min="7" max="8" width="9.140625" style="9"/>
    <col min="9" max="9" width="15" style="9" customWidth="1"/>
    <col min="10" max="10" width="11" style="9" customWidth="1"/>
    <col min="11" max="14" width="9.140625" style="9"/>
    <col min="15" max="15" width="11.28515625" style="9" customWidth="1"/>
    <col min="16" max="16" width="12.28515625" style="9" customWidth="1"/>
    <col min="17" max="17" width="9.140625" style="9"/>
    <col min="18" max="18" width="13.28515625" style="9" customWidth="1"/>
    <col min="19" max="21" width="9.140625" style="9"/>
    <col min="22" max="22" width="14.42578125" style="9" customWidth="1"/>
    <col min="23" max="24" width="13.7109375" style="9" customWidth="1"/>
    <col min="25" max="25" width="12.28515625" style="9" customWidth="1"/>
    <col min="26" max="26" width="9.140625" style="9"/>
    <col min="27" max="27" width="14.140625" style="9" customWidth="1"/>
    <col min="28" max="28" width="12.140625" style="9" customWidth="1"/>
    <col min="29" max="16384" width="9.140625" style="9"/>
  </cols>
  <sheetData>
    <row r="1" spans="1:28" ht="59.25" customHeight="1" x14ac:dyDescent="0.25">
      <c r="A1" s="36" t="s">
        <v>60</v>
      </c>
      <c r="B1" s="36"/>
      <c r="C1" s="37" t="s">
        <v>61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28" ht="75" x14ac:dyDescent="0.25">
      <c r="A2" s="10" t="s">
        <v>20</v>
      </c>
      <c r="B2" s="10" t="s">
        <v>56</v>
      </c>
      <c r="C2" s="10" t="s">
        <v>62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 t="s">
        <v>37</v>
      </c>
      <c r="K2" s="10" t="s">
        <v>38</v>
      </c>
      <c r="L2" s="10" t="s">
        <v>39</v>
      </c>
      <c r="M2" s="10" t="s">
        <v>40</v>
      </c>
      <c r="N2" s="10" t="s">
        <v>41</v>
      </c>
      <c r="O2" s="10" t="s">
        <v>42</v>
      </c>
      <c r="P2" s="10" t="s">
        <v>43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 t="s">
        <v>50</v>
      </c>
      <c r="X2" s="10" t="s">
        <v>51</v>
      </c>
      <c r="Y2" s="10" t="s">
        <v>52</v>
      </c>
      <c r="Z2" s="10" t="s">
        <v>53</v>
      </c>
      <c r="AA2" s="10" t="s">
        <v>54</v>
      </c>
      <c r="AB2" s="10" t="s">
        <v>55</v>
      </c>
    </row>
    <row r="3" spans="1:28" ht="45" x14ac:dyDescent="0.25">
      <c r="A3" s="12">
        <v>100</v>
      </c>
      <c r="B3" s="5" t="s">
        <v>70</v>
      </c>
      <c r="C3" s="12" t="s">
        <v>21</v>
      </c>
      <c r="D3" s="10">
        <v>4592</v>
      </c>
      <c r="E3" s="10">
        <f>100</f>
        <v>100</v>
      </c>
      <c r="F3" s="10"/>
      <c r="G3" s="10"/>
      <c r="H3" s="10"/>
      <c r="I3" s="12" t="s">
        <v>63</v>
      </c>
      <c r="J3" s="10">
        <v>1</v>
      </c>
      <c r="K3" s="10">
        <f>E3-1</f>
        <v>99</v>
      </c>
      <c r="L3" s="10"/>
      <c r="M3" s="10"/>
      <c r="N3" s="10"/>
      <c r="O3" s="12" t="s">
        <v>63</v>
      </c>
      <c r="P3" s="10">
        <v>1</v>
      </c>
      <c r="Q3" s="10">
        <v>30</v>
      </c>
      <c r="R3" s="10">
        <v>5</v>
      </c>
      <c r="S3" s="10"/>
      <c r="T3" s="10"/>
      <c r="U3" s="10"/>
      <c r="V3" s="10" t="s">
        <v>58</v>
      </c>
      <c r="W3" s="5" t="s">
        <v>70</v>
      </c>
      <c r="X3" s="10" t="s">
        <v>59</v>
      </c>
      <c r="Y3" s="10" t="s">
        <v>57</v>
      </c>
      <c r="Z3" s="10"/>
      <c r="AA3" s="10"/>
      <c r="AB3" s="10"/>
    </row>
    <row r="4" spans="1:28" ht="45" x14ac:dyDescent="0.25">
      <c r="A4" s="12">
        <v>100</v>
      </c>
      <c r="B4" s="4" t="s">
        <v>71</v>
      </c>
      <c r="C4" s="12" t="s">
        <v>22</v>
      </c>
      <c r="D4" s="10">
        <f>D3+1</f>
        <v>4593</v>
      </c>
      <c r="E4" s="10">
        <f>E3+10</f>
        <v>110</v>
      </c>
      <c r="F4" s="10"/>
      <c r="G4" s="10"/>
      <c r="H4" s="10"/>
      <c r="I4" s="12" t="s">
        <v>63</v>
      </c>
      <c r="J4" s="10">
        <v>1</v>
      </c>
      <c r="K4" s="10">
        <f t="shared" ref="K4:K18" si="0">E4-1</f>
        <v>109</v>
      </c>
      <c r="L4" s="10"/>
      <c r="M4" s="10"/>
      <c r="N4" s="10"/>
      <c r="O4" s="12" t="s">
        <v>63</v>
      </c>
      <c r="P4" s="10">
        <v>1</v>
      </c>
      <c r="Q4" s="10">
        <v>30</v>
      </c>
      <c r="R4" s="10">
        <v>5</v>
      </c>
      <c r="S4" s="10"/>
      <c r="T4" s="10"/>
      <c r="U4" s="10"/>
      <c r="V4" s="10" t="s">
        <v>58</v>
      </c>
      <c r="W4" s="4" t="s">
        <v>71</v>
      </c>
      <c r="X4" s="10" t="s">
        <v>59</v>
      </c>
      <c r="Y4" s="10" t="s">
        <v>64</v>
      </c>
      <c r="Z4" s="10"/>
      <c r="AA4" s="10"/>
      <c r="AB4" s="10"/>
    </row>
    <row r="5" spans="1:28" ht="45" x14ac:dyDescent="0.25">
      <c r="A5" s="12">
        <v>100</v>
      </c>
      <c r="B5" s="4" t="s">
        <v>72</v>
      </c>
      <c r="C5" s="12" t="s">
        <v>23</v>
      </c>
      <c r="D5" s="10">
        <f t="shared" ref="D5:D18" si="1">D4+1</f>
        <v>4594</v>
      </c>
      <c r="E5" s="10">
        <f t="shared" ref="E5:E18" si="2">E4+10</f>
        <v>120</v>
      </c>
      <c r="F5" s="10"/>
      <c r="G5" s="10"/>
      <c r="H5" s="10"/>
      <c r="I5" s="12" t="s">
        <v>63</v>
      </c>
      <c r="J5" s="10">
        <v>1</v>
      </c>
      <c r="K5" s="10">
        <f t="shared" si="0"/>
        <v>119</v>
      </c>
      <c r="L5" s="10"/>
      <c r="M5" s="10"/>
      <c r="N5" s="10"/>
      <c r="O5" s="12" t="s">
        <v>63</v>
      </c>
      <c r="P5" s="10">
        <v>1</v>
      </c>
      <c r="Q5" s="10">
        <v>30</v>
      </c>
      <c r="R5" s="10">
        <v>5</v>
      </c>
      <c r="S5" s="10"/>
      <c r="T5" s="10"/>
      <c r="U5" s="10"/>
      <c r="V5" s="10" t="s">
        <v>58</v>
      </c>
      <c r="W5" s="4" t="s">
        <v>72</v>
      </c>
      <c r="X5" s="10" t="s">
        <v>59</v>
      </c>
      <c r="Y5" s="16" t="s">
        <v>64</v>
      </c>
      <c r="Z5" s="10"/>
      <c r="AA5" s="10"/>
      <c r="AB5" s="10"/>
    </row>
    <row r="6" spans="1:28" ht="45" x14ac:dyDescent="0.25">
      <c r="A6" s="12">
        <v>200</v>
      </c>
      <c r="B6" s="4" t="s">
        <v>73</v>
      </c>
      <c r="C6" s="12" t="s">
        <v>24</v>
      </c>
      <c r="D6" s="10">
        <f t="shared" si="1"/>
        <v>4595</v>
      </c>
      <c r="E6" s="10">
        <f t="shared" si="2"/>
        <v>130</v>
      </c>
      <c r="F6" s="10"/>
      <c r="G6" s="10"/>
      <c r="H6" s="10"/>
      <c r="I6" s="12" t="s">
        <v>63</v>
      </c>
      <c r="J6" s="10">
        <v>1</v>
      </c>
      <c r="K6" s="10">
        <f t="shared" si="0"/>
        <v>129</v>
      </c>
      <c r="L6" s="10"/>
      <c r="M6" s="10"/>
      <c r="N6" s="10"/>
      <c r="O6" s="12" t="s">
        <v>63</v>
      </c>
      <c r="P6" s="10">
        <v>1</v>
      </c>
      <c r="Q6" s="10">
        <v>30</v>
      </c>
      <c r="R6" s="10">
        <v>5</v>
      </c>
      <c r="S6" s="10"/>
      <c r="T6" s="10"/>
      <c r="U6" s="10"/>
      <c r="V6" s="10" t="s">
        <v>58</v>
      </c>
      <c r="W6" s="4" t="s">
        <v>73</v>
      </c>
      <c r="X6" s="10" t="s">
        <v>59</v>
      </c>
      <c r="Y6" s="16" t="s">
        <v>64</v>
      </c>
      <c r="Z6" s="10"/>
      <c r="AA6" s="10"/>
      <c r="AB6" s="10"/>
    </row>
    <row r="7" spans="1:28" ht="45" x14ac:dyDescent="0.25">
      <c r="A7" s="12">
        <v>200</v>
      </c>
      <c r="B7" s="4" t="s">
        <v>71</v>
      </c>
      <c r="C7" s="12" t="s">
        <v>25</v>
      </c>
      <c r="D7" s="10">
        <f t="shared" si="1"/>
        <v>4596</v>
      </c>
      <c r="E7" s="10">
        <f t="shared" si="2"/>
        <v>140</v>
      </c>
      <c r="F7" s="10"/>
      <c r="G7" s="10"/>
      <c r="H7" s="10"/>
      <c r="I7" s="12" t="s">
        <v>63</v>
      </c>
      <c r="J7" s="10">
        <v>1</v>
      </c>
      <c r="K7" s="10">
        <f t="shared" si="0"/>
        <v>139</v>
      </c>
      <c r="L7" s="10"/>
      <c r="M7" s="10"/>
      <c r="N7" s="10"/>
      <c r="O7" s="12" t="s">
        <v>63</v>
      </c>
      <c r="P7" s="10">
        <v>1</v>
      </c>
      <c r="Q7" s="10">
        <v>30</v>
      </c>
      <c r="R7" s="10">
        <v>5</v>
      </c>
      <c r="S7" s="10"/>
      <c r="T7" s="10"/>
      <c r="U7" s="10"/>
      <c r="V7" s="10" t="s">
        <v>58</v>
      </c>
      <c r="W7" s="4" t="s">
        <v>71</v>
      </c>
      <c r="X7" s="10" t="s">
        <v>59</v>
      </c>
      <c r="Y7" s="10" t="s">
        <v>57</v>
      </c>
      <c r="Z7" s="10"/>
      <c r="AA7" s="10"/>
      <c r="AB7" s="10"/>
    </row>
    <row r="8" spans="1:28" ht="45" x14ac:dyDescent="0.25">
      <c r="A8" s="12">
        <v>200</v>
      </c>
      <c r="B8" s="4" t="s">
        <v>74</v>
      </c>
      <c r="C8" s="12" t="s">
        <v>22</v>
      </c>
      <c r="D8" s="10">
        <f t="shared" si="1"/>
        <v>4597</v>
      </c>
      <c r="E8" s="10">
        <f t="shared" si="2"/>
        <v>150</v>
      </c>
      <c r="F8" s="10"/>
      <c r="G8" s="10"/>
      <c r="H8" s="10"/>
      <c r="I8" s="12" t="s">
        <v>63</v>
      </c>
      <c r="J8" s="10">
        <v>1</v>
      </c>
      <c r="K8" s="10">
        <f t="shared" si="0"/>
        <v>149</v>
      </c>
      <c r="L8" s="10"/>
      <c r="M8" s="10"/>
      <c r="N8" s="10"/>
      <c r="O8" s="12" t="s">
        <v>63</v>
      </c>
      <c r="P8" s="10">
        <v>1</v>
      </c>
      <c r="Q8" s="10">
        <v>30</v>
      </c>
      <c r="R8" s="10">
        <v>5</v>
      </c>
      <c r="S8" s="10"/>
      <c r="T8" s="10"/>
      <c r="U8" s="10"/>
      <c r="V8" s="10" t="s">
        <v>58</v>
      </c>
      <c r="W8" s="4" t="s">
        <v>74</v>
      </c>
      <c r="X8" s="10" t="s">
        <v>59</v>
      </c>
      <c r="Y8" s="10" t="s">
        <v>57</v>
      </c>
      <c r="Z8" s="10"/>
      <c r="AA8" s="10"/>
      <c r="AB8" s="10"/>
    </row>
    <row r="9" spans="1:28" ht="45" x14ac:dyDescent="0.25">
      <c r="A9" s="12">
        <v>300</v>
      </c>
      <c r="B9" s="4" t="s">
        <v>75</v>
      </c>
      <c r="C9" s="12" t="s">
        <v>26</v>
      </c>
      <c r="D9" s="10">
        <f t="shared" si="1"/>
        <v>4598</v>
      </c>
      <c r="E9" s="10">
        <f t="shared" si="2"/>
        <v>160</v>
      </c>
      <c r="F9" s="10"/>
      <c r="G9" s="10"/>
      <c r="H9" s="10"/>
      <c r="I9" s="12" t="s">
        <v>63</v>
      </c>
      <c r="J9" s="10">
        <v>1</v>
      </c>
      <c r="K9" s="10">
        <f t="shared" si="0"/>
        <v>159</v>
      </c>
      <c r="L9" s="10"/>
      <c r="M9" s="10"/>
      <c r="N9" s="10"/>
      <c r="O9" s="12" t="s">
        <v>63</v>
      </c>
      <c r="P9" s="10">
        <v>1</v>
      </c>
      <c r="Q9" s="10">
        <v>30</v>
      </c>
      <c r="R9" s="10">
        <v>5</v>
      </c>
      <c r="S9" s="10"/>
      <c r="T9" s="10"/>
      <c r="U9" s="10"/>
      <c r="V9" s="10" t="s">
        <v>58</v>
      </c>
      <c r="W9" s="4" t="s">
        <v>75</v>
      </c>
      <c r="X9" s="10" t="s">
        <v>59</v>
      </c>
      <c r="Y9" s="10" t="s">
        <v>57</v>
      </c>
      <c r="Z9" s="10"/>
      <c r="AA9" s="10"/>
      <c r="AB9" s="10"/>
    </row>
    <row r="10" spans="1:28" ht="45" x14ac:dyDescent="0.25">
      <c r="A10" s="12">
        <v>300</v>
      </c>
      <c r="B10" s="4" t="s">
        <v>76</v>
      </c>
      <c r="C10" s="12" t="s">
        <v>27</v>
      </c>
      <c r="D10" s="10">
        <f t="shared" si="1"/>
        <v>4599</v>
      </c>
      <c r="E10" s="10">
        <f t="shared" si="2"/>
        <v>170</v>
      </c>
      <c r="F10" s="10"/>
      <c r="G10" s="10"/>
      <c r="H10" s="10"/>
      <c r="I10" s="12" t="s">
        <v>63</v>
      </c>
      <c r="J10" s="10">
        <v>1</v>
      </c>
      <c r="K10" s="10">
        <f t="shared" si="0"/>
        <v>169</v>
      </c>
      <c r="L10" s="10"/>
      <c r="M10" s="10"/>
      <c r="N10" s="10"/>
      <c r="O10" s="12" t="s">
        <v>63</v>
      </c>
      <c r="P10" s="10">
        <v>1</v>
      </c>
      <c r="Q10" s="10">
        <v>30</v>
      </c>
      <c r="R10" s="10">
        <v>5</v>
      </c>
      <c r="S10" s="10"/>
      <c r="T10" s="10"/>
      <c r="U10" s="10"/>
      <c r="V10" s="10" t="s">
        <v>58</v>
      </c>
      <c r="W10" s="4" t="s">
        <v>76</v>
      </c>
      <c r="X10" s="10" t="s">
        <v>59</v>
      </c>
      <c r="Y10" s="10" t="s">
        <v>57</v>
      </c>
      <c r="Z10" s="10"/>
      <c r="AA10" s="10"/>
      <c r="AB10" s="10"/>
    </row>
    <row r="11" spans="1:28" ht="45" x14ac:dyDescent="0.25">
      <c r="A11" s="12">
        <v>300</v>
      </c>
      <c r="B11" s="4" t="s">
        <v>77</v>
      </c>
      <c r="C11" s="12" t="s">
        <v>28</v>
      </c>
      <c r="D11" s="10">
        <f t="shared" si="1"/>
        <v>4600</v>
      </c>
      <c r="E11" s="10">
        <f t="shared" si="2"/>
        <v>180</v>
      </c>
      <c r="F11" s="10"/>
      <c r="G11" s="10"/>
      <c r="H11" s="10"/>
      <c r="I11" s="12" t="s">
        <v>63</v>
      </c>
      <c r="J11" s="10">
        <v>1</v>
      </c>
      <c r="K11" s="10">
        <f t="shared" si="0"/>
        <v>179</v>
      </c>
      <c r="L11" s="10"/>
      <c r="M11" s="10"/>
      <c r="N11" s="10"/>
      <c r="O11" s="12" t="s">
        <v>63</v>
      </c>
      <c r="P11" s="10">
        <v>1</v>
      </c>
      <c r="Q11" s="10">
        <v>30</v>
      </c>
      <c r="R11" s="10">
        <v>5</v>
      </c>
      <c r="S11" s="10"/>
      <c r="T11" s="10"/>
      <c r="U11" s="10"/>
      <c r="V11" s="10" t="s">
        <v>58</v>
      </c>
      <c r="W11" s="4" t="s">
        <v>77</v>
      </c>
      <c r="X11" s="10" t="s">
        <v>59</v>
      </c>
      <c r="Y11" s="10" t="s">
        <v>57</v>
      </c>
      <c r="Z11" s="10"/>
      <c r="AA11" s="10"/>
      <c r="AB11" s="10"/>
    </row>
    <row r="12" spans="1:28" ht="45" x14ac:dyDescent="0.25">
      <c r="A12" s="12">
        <v>400</v>
      </c>
      <c r="B12" s="4" t="s">
        <v>78</v>
      </c>
      <c r="C12" s="12" t="s">
        <v>22</v>
      </c>
      <c r="D12" s="10">
        <f t="shared" si="1"/>
        <v>4601</v>
      </c>
      <c r="E12" s="10">
        <f t="shared" si="2"/>
        <v>190</v>
      </c>
      <c r="F12" s="10"/>
      <c r="G12" s="10"/>
      <c r="H12" s="10"/>
      <c r="I12" s="12" t="s">
        <v>63</v>
      </c>
      <c r="J12" s="10">
        <v>1</v>
      </c>
      <c r="K12" s="10">
        <f t="shared" si="0"/>
        <v>189</v>
      </c>
      <c r="L12" s="10"/>
      <c r="M12" s="10"/>
      <c r="N12" s="10"/>
      <c r="O12" s="12" t="s">
        <v>63</v>
      </c>
      <c r="P12" s="10">
        <v>1</v>
      </c>
      <c r="Q12" s="10">
        <v>30</v>
      </c>
      <c r="R12" s="10">
        <v>5</v>
      </c>
      <c r="S12" s="10"/>
      <c r="T12" s="10"/>
      <c r="U12" s="10"/>
      <c r="V12" s="10" t="s">
        <v>58</v>
      </c>
      <c r="W12" s="4" t="s">
        <v>78</v>
      </c>
      <c r="X12" s="10" t="s">
        <v>59</v>
      </c>
      <c r="Y12" s="10" t="s">
        <v>57</v>
      </c>
      <c r="Z12" s="10"/>
      <c r="AA12" s="10"/>
      <c r="AB12" s="10"/>
    </row>
    <row r="13" spans="1:28" ht="45" x14ac:dyDescent="0.25">
      <c r="A13" s="12">
        <v>400</v>
      </c>
      <c r="B13" s="4" t="s">
        <v>79</v>
      </c>
      <c r="C13" s="12" t="s">
        <v>29</v>
      </c>
      <c r="D13" s="10">
        <f t="shared" si="1"/>
        <v>4602</v>
      </c>
      <c r="E13" s="10">
        <f t="shared" si="2"/>
        <v>200</v>
      </c>
      <c r="F13" s="10"/>
      <c r="G13" s="10"/>
      <c r="H13" s="10"/>
      <c r="I13" s="12" t="s">
        <v>63</v>
      </c>
      <c r="J13" s="10">
        <v>1</v>
      </c>
      <c r="K13" s="10">
        <f t="shared" si="0"/>
        <v>199</v>
      </c>
      <c r="L13" s="10"/>
      <c r="M13" s="10"/>
      <c r="N13" s="10"/>
      <c r="O13" s="12" t="s">
        <v>63</v>
      </c>
      <c r="P13" s="10">
        <v>1</v>
      </c>
      <c r="Q13" s="10">
        <v>30</v>
      </c>
      <c r="R13" s="10">
        <v>5</v>
      </c>
      <c r="S13" s="10"/>
      <c r="T13" s="10"/>
      <c r="U13" s="10"/>
      <c r="V13" s="10" t="s">
        <v>58</v>
      </c>
      <c r="W13" s="4" t="s">
        <v>79</v>
      </c>
      <c r="X13" s="10" t="s">
        <v>59</v>
      </c>
      <c r="Y13" s="11" t="s">
        <v>16</v>
      </c>
      <c r="Z13" s="10"/>
      <c r="AA13" s="10"/>
      <c r="AB13" s="10"/>
    </row>
    <row r="14" spans="1:28" ht="45" x14ac:dyDescent="0.25">
      <c r="A14" s="12">
        <v>400</v>
      </c>
      <c r="B14" s="8" t="s">
        <v>80</v>
      </c>
      <c r="C14" s="12" t="s">
        <v>22</v>
      </c>
      <c r="D14" s="10">
        <f t="shared" si="1"/>
        <v>4603</v>
      </c>
      <c r="E14" s="10">
        <f t="shared" si="2"/>
        <v>210</v>
      </c>
      <c r="F14" s="10"/>
      <c r="G14" s="10"/>
      <c r="H14" s="10"/>
      <c r="I14" s="12" t="s">
        <v>63</v>
      </c>
      <c r="J14" s="10">
        <v>1</v>
      </c>
      <c r="K14" s="10">
        <f t="shared" si="0"/>
        <v>209</v>
      </c>
      <c r="L14" s="10"/>
      <c r="M14" s="10"/>
      <c r="N14" s="10"/>
      <c r="O14" s="12" t="s">
        <v>63</v>
      </c>
      <c r="P14" s="10">
        <v>1</v>
      </c>
      <c r="Q14" s="10">
        <v>30</v>
      </c>
      <c r="R14" s="10">
        <v>5</v>
      </c>
      <c r="S14" s="10"/>
      <c r="T14" s="10"/>
      <c r="U14" s="10"/>
      <c r="V14" s="10" t="s">
        <v>58</v>
      </c>
      <c r="W14" s="8" t="s">
        <v>80</v>
      </c>
      <c r="X14" s="10" t="s">
        <v>59</v>
      </c>
      <c r="Y14" s="13" t="s">
        <v>17</v>
      </c>
      <c r="Z14" s="10"/>
      <c r="AA14" s="10"/>
      <c r="AB14" s="10"/>
    </row>
    <row r="15" spans="1:28" ht="45" x14ac:dyDescent="0.25">
      <c r="A15" s="12">
        <v>400</v>
      </c>
      <c r="B15" s="4" t="s">
        <v>81</v>
      </c>
      <c r="C15" s="12" t="s">
        <v>23</v>
      </c>
      <c r="D15" s="10">
        <f t="shared" si="1"/>
        <v>4604</v>
      </c>
      <c r="E15" s="10">
        <f t="shared" si="2"/>
        <v>220</v>
      </c>
      <c r="F15" s="10"/>
      <c r="G15" s="10"/>
      <c r="H15" s="10"/>
      <c r="I15" s="12" t="s">
        <v>63</v>
      </c>
      <c r="J15" s="10">
        <v>1</v>
      </c>
      <c r="K15" s="10">
        <f t="shared" si="0"/>
        <v>219</v>
      </c>
      <c r="L15" s="10"/>
      <c r="M15" s="10"/>
      <c r="N15" s="10"/>
      <c r="O15" s="12" t="s">
        <v>63</v>
      </c>
      <c r="P15" s="10">
        <v>1</v>
      </c>
      <c r="Q15" s="10">
        <v>30</v>
      </c>
      <c r="R15" s="10">
        <v>5</v>
      </c>
      <c r="S15" s="10"/>
      <c r="T15" s="10"/>
      <c r="U15" s="10"/>
      <c r="V15" s="10" t="s">
        <v>58</v>
      </c>
      <c r="W15" s="4" t="s">
        <v>81</v>
      </c>
      <c r="X15" s="10" t="s">
        <v>59</v>
      </c>
      <c r="Y15" s="13" t="s">
        <v>18</v>
      </c>
      <c r="Z15" s="10"/>
      <c r="AA15" s="10"/>
      <c r="AB15" s="10"/>
    </row>
    <row r="16" spans="1:28" ht="45" x14ac:dyDescent="0.25">
      <c r="A16" s="12">
        <v>400</v>
      </c>
      <c r="B16" s="4" t="s">
        <v>80</v>
      </c>
      <c r="C16" s="12" t="s">
        <v>22</v>
      </c>
      <c r="D16" s="10">
        <f t="shared" si="1"/>
        <v>4605</v>
      </c>
      <c r="E16" s="10">
        <f t="shared" si="2"/>
        <v>230</v>
      </c>
      <c r="F16" s="10"/>
      <c r="G16" s="10"/>
      <c r="H16" s="10"/>
      <c r="I16" s="12" t="s">
        <v>63</v>
      </c>
      <c r="J16" s="10">
        <v>1</v>
      </c>
      <c r="K16" s="10">
        <f t="shared" si="0"/>
        <v>229</v>
      </c>
      <c r="L16" s="10"/>
      <c r="M16" s="10"/>
      <c r="N16" s="10"/>
      <c r="O16" s="12" t="s">
        <v>63</v>
      </c>
      <c r="P16" s="10">
        <v>1</v>
      </c>
      <c r="Q16" s="10">
        <v>30</v>
      </c>
      <c r="R16" s="10">
        <v>5</v>
      </c>
      <c r="S16" s="10"/>
      <c r="T16" s="10"/>
      <c r="U16" s="10"/>
      <c r="V16" s="10" t="s">
        <v>58</v>
      </c>
      <c r="W16" s="4" t="s">
        <v>80</v>
      </c>
      <c r="X16" s="10" t="s">
        <v>59</v>
      </c>
      <c r="Y16" s="13" t="s">
        <v>19</v>
      </c>
      <c r="Z16" s="10"/>
      <c r="AA16" s="10"/>
      <c r="AB16" s="10"/>
    </row>
    <row r="17" spans="1:28" ht="45" x14ac:dyDescent="0.25">
      <c r="A17" s="12">
        <v>500</v>
      </c>
      <c r="B17" s="4" t="s">
        <v>81</v>
      </c>
      <c r="C17" s="12" t="s">
        <v>23</v>
      </c>
      <c r="D17" s="10">
        <f t="shared" si="1"/>
        <v>4606</v>
      </c>
      <c r="E17" s="10">
        <f t="shared" si="2"/>
        <v>240</v>
      </c>
      <c r="F17" s="10"/>
      <c r="G17" s="10"/>
      <c r="H17" s="10"/>
      <c r="I17" s="12" t="s">
        <v>63</v>
      </c>
      <c r="J17" s="10">
        <v>1</v>
      </c>
      <c r="K17" s="10">
        <f t="shared" si="0"/>
        <v>239</v>
      </c>
      <c r="L17" s="10"/>
      <c r="M17" s="10"/>
      <c r="N17" s="10"/>
      <c r="O17" s="12" t="s">
        <v>63</v>
      </c>
      <c r="P17" s="10">
        <v>1</v>
      </c>
      <c r="Q17" s="10">
        <v>30</v>
      </c>
      <c r="R17" s="10">
        <v>5</v>
      </c>
      <c r="S17" s="10"/>
      <c r="T17" s="10"/>
      <c r="U17" s="10"/>
      <c r="V17" s="10" t="s">
        <v>58</v>
      </c>
      <c r="W17" s="4" t="s">
        <v>81</v>
      </c>
      <c r="X17" s="10" t="s">
        <v>59</v>
      </c>
      <c r="Y17" s="13" t="s">
        <v>17</v>
      </c>
      <c r="Z17" s="10"/>
      <c r="AA17" s="10"/>
      <c r="AB17" s="10"/>
    </row>
    <row r="18" spans="1:28" ht="45" x14ac:dyDescent="0.25">
      <c r="A18" s="12">
        <v>500</v>
      </c>
      <c r="B18" s="4" t="s">
        <v>82</v>
      </c>
      <c r="C18" s="12" t="s">
        <v>30</v>
      </c>
      <c r="D18" s="10">
        <f t="shared" si="1"/>
        <v>4607</v>
      </c>
      <c r="E18" s="10">
        <f t="shared" si="2"/>
        <v>250</v>
      </c>
      <c r="F18" s="10"/>
      <c r="G18" s="10"/>
      <c r="H18" s="10"/>
      <c r="I18" s="12" t="s">
        <v>63</v>
      </c>
      <c r="J18" s="10">
        <v>1</v>
      </c>
      <c r="K18" s="10">
        <f t="shared" si="0"/>
        <v>249</v>
      </c>
      <c r="L18" s="10"/>
      <c r="M18" s="10"/>
      <c r="N18" s="10"/>
      <c r="O18" s="12" t="s">
        <v>63</v>
      </c>
      <c r="P18" s="10">
        <v>1</v>
      </c>
      <c r="Q18" s="10">
        <v>30</v>
      </c>
      <c r="R18" s="10">
        <v>5</v>
      </c>
      <c r="S18" s="10"/>
      <c r="T18" s="10"/>
      <c r="U18" s="10"/>
      <c r="V18" s="10" t="s">
        <v>58</v>
      </c>
      <c r="W18" s="4" t="s">
        <v>82</v>
      </c>
      <c r="X18" s="10" t="s">
        <v>59</v>
      </c>
      <c r="Y18" s="10" t="s">
        <v>17</v>
      </c>
      <c r="Z18" s="10"/>
      <c r="AA18" s="10"/>
      <c r="AB18" s="10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</sheetData>
  <mergeCells count="2">
    <mergeCell ref="A1:B1"/>
    <mergeCell ref="C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Summary Of Locos Not Active</vt:lpstr>
      <vt:lpstr>Summary Of Locos with CDF</vt:lpstr>
      <vt:lpstr>Each 2080 Received by 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 IMS</dc:creator>
  <cp:lastModifiedBy>RC IMS</cp:lastModifiedBy>
  <dcterms:created xsi:type="dcterms:W3CDTF">2020-08-06T17:34:46Z</dcterms:created>
  <dcterms:modified xsi:type="dcterms:W3CDTF">2020-09-09T15:06:31Z</dcterms:modified>
</cp:coreProperties>
</file>
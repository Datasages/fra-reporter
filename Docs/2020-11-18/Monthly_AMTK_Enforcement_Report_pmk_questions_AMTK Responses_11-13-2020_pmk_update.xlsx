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https://datasages-my.sharepoint.com/personal/pete_datasages_com/Documents/Client Projects/Collins Aerospace/Railwaynet/STROLR Upgrade/Amtrak Reporting/Message Formats from Deji/"/>
    </mc:Choice>
  </mc:AlternateContent>
  <xr:revisionPtr revIDLastSave="100" documentId="8_{34556643-3E35-F246-9C04-82B2F7C3B27B}" xr6:coauthVersionLast="45" xr6:coauthVersionMax="45" xr10:uidLastSave="{386669EB-3DAB-5A46-9300-3B661FBD61AD}"/>
  <bookViews>
    <workbookView xWindow="68900" yWindow="2900" windowWidth="31400" windowHeight="16480" activeTab="1" xr2:uid="{00000000-000D-0000-FFFF-FFFF00000000}"/>
  </bookViews>
  <sheets>
    <sheet name="Cover Sheet" sheetId="1" r:id="rId1"/>
    <sheet name="Summary of Enforcements" sheetId="2" r:id="rId2"/>
    <sheet name="Each 2083 Received by B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3" l="1"/>
  <c r="U3" i="3" s="1"/>
  <c r="U4" i="3" s="1"/>
  <c r="U5" i="3" s="1"/>
  <c r="U6" i="3" s="1"/>
  <c r="U7" i="3" s="1"/>
  <c r="U8" i="3" s="1"/>
  <c r="U9" i="3" s="1"/>
  <c r="U10" i="3" s="1"/>
  <c r="U11" i="3" s="1"/>
  <c r="I2" i="3"/>
  <c r="I3" i="3" s="1"/>
  <c r="I4" i="3" s="1"/>
  <c r="I5" i="3" s="1"/>
  <c r="I6" i="3" s="1"/>
  <c r="I7" i="3" s="1"/>
  <c r="I8" i="3" s="1"/>
  <c r="I9" i="3" s="1"/>
  <c r="I10" i="3" s="1"/>
  <c r="I11" i="3" s="1"/>
</calcChain>
</file>

<file path=xl/sharedStrings.xml><?xml version="1.0" encoding="utf-8"?>
<sst xmlns="http://schemas.openxmlformats.org/spreadsheetml/2006/main" count="343" uniqueCount="88">
  <si>
    <t>Total Number of Enforcements</t>
  </si>
  <si>
    <t>Target Type</t>
  </si>
  <si>
    <t>Train ID</t>
  </si>
  <si>
    <t>Authority Violation</t>
  </si>
  <si>
    <t>Speed Based Authority</t>
  </si>
  <si>
    <t>Signal Based Authority</t>
  </si>
  <si>
    <t>AMTK-0001</t>
  </si>
  <si>
    <t>AMTK-0002</t>
  </si>
  <si>
    <t>AMTK-0003</t>
  </si>
  <si>
    <t>AMTK-0010</t>
  </si>
  <si>
    <t>AMTK-0011</t>
  </si>
  <si>
    <t>AMTK-0120</t>
  </si>
  <si>
    <t>Time</t>
  </si>
  <si>
    <t>Warning/Enforcement Type</t>
  </si>
  <si>
    <t>Train ID Length</t>
  </si>
  <si>
    <t>Onboard Software Version</t>
  </si>
  <si>
    <t>Target Description</t>
  </si>
  <si>
    <t>Start Milepost</t>
  </si>
  <si>
    <t>Start Milepost Prefix</t>
  </si>
  <si>
    <t/>
  </si>
  <si>
    <t>Start Milepost Suffix</t>
  </si>
  <si>
    <t>Start Track Name</t>
  </si>
  <si>
    <t>Railroad SCAC</t>
  </si>
  <si>
    <t>PTC Subdivision/ District ID</t>
  </si>
  <si>
    <t>Start Position Uncertainity</t>
  </si>
  <si>
    <t>Warning Distance</t>
  </si>
  <si>
    <t>Direction of Travel</t>
  </si>
  <si>
    <t>Train Speed</t>
  </si>
  <si>
    <t>Head End Position</t>
  </si>
  <si>
    <t>Enforcement Time</t>
  </si>
  <si>
    <t>PTC Subdivision/District ID</t>
  </si>
  <si>
    <t xml:space="preserve">Start Position Uncertainity </t>
  </si>
  <si>
    <t>Braking Distance</t>
  </si>
  <si>
    <t>Emergency Enforcement Braking Time</t>
  </si>
  <si>
    <t>Milepost</t>
  </si>
  <si>
    <t>Milepost Prefix</t>
  </si>
  <si>
    <t>Milepost Suffix</t>
  </si>
  <si>
    <t>Track Name</t>
  </si>
  <si>
    <t>PTC Subdivision District ID</t>
  </si>
  <si>
    <t>Current Position Uncertainity</t>
  </si>
  <si>
    <t xml:space="preserve">Predictive Target Enforcement </t>
  </si>
  <si>
    <t xml:space="preserve"> Reactive Target Enforcemen</t>
  </si>
  <si>
    <t xml:space="preserve">Software Version </t>
  </si>
  <si>
    <t>Target</t>
  </si>
  <si>
    <t>Loco ID /Mark</t>
  </si>
  <si>
    <t>AMTK</t>
  </si>
  <si>
    <t>LocoID</t>
  </si>
  <si>
    <t>Time (UTC) (including date)</t>
  </si>
  <si>
    <t>2020-8-1T 2:00:00 PM</t>
  </si>
  <si>
    <t>2020-8-2T 3:00:00 PM</t>
  </si>
  <si>
    <t>2020-8-3T 5:00:00 PM</t>
  </si>
  <si>
    <t>2020-8-2T 4:00:00 PM</t>
  </si>
  <si>
    <t>2020-8-3T 6:00:00 PM</t>
  </si>
  <si>
    <t>2020-8-4 T7:00:00 PM</t>
  </si>
  <si>
    <t>2020-8-5 T 8:00:00 PM</t>
  </si>
  <si>
    <t>2020-8-5T 9:00:00 PM</t>
  </si>
  <si>
    <t>2020-8-6T 10:00:00 PM</t>
  </si>
  <si>
    <t>2020-8-1T 01:15:00 PM</t>
  </si>
  <si>
    <t>AMTRAK Monthly Enforcement Report</t>
  </si>
  <si>
    <t>Target Start MP</t>
  </si>
  <si>
    <t>Target Start Track Name</t>
  </si>
  <si>
    <t>Target Start SCAC</t>
  </si>
  <si>
    <t>Target Start Subdiv</t>
  </si>
  <si>
    <t>Target End MP</t>
  </si>
  <si>
    <t>Target End Track Name</t>
  </si>
  <si>
    <t>Target End SCAC</t>
  </si>
  <si>
    <t>Target End Subdiv</t>
  </si>
  <si>
    <t>Enforcement Start MP</t>
  </si>
  <si>
    <t>Enforcement Start Track Name</t>
  </si>
  <si>
    <t>Enforcement Start SCAC</t>
  </si>
  <si>
    <t>Enforcement Start Subdiv</t>
  </si>
  <si>
    <t>Enforcement End MP</t>
  </si>
  <si>
    <t>Enforcement End Track Name</t>
  </si>
  <si>
    <t>Enforcement End SCAC</t>
  </si>
  <si>
    <t>Enforcement End Subdiv</t>
  </si>
  <si>
    <t>MAIN1</t>
  </si>
  <si>
    <t>TRACK1</t>
  </si>
  <si>
    <t>TRACK3</t>
  </si>
  <si>
    <t>SD1</t>
  </si>
  <si>
    <t>Summary Of Train IDs With Enforcement (No Warning Messages)</t>
  </si>
  <si>
    <t>Warning Start MP</t>
  </si>
  <si>
    <t>Warning Start Track Name</t>
  </si>
  <si>
    <t>Warning Start SCAC</t>
  </si>
  <si>
    <t>Warning Start Subdiv</t>
  </si>
  <si>
    <t>Warning End MP</t>
  </si>
  <si>
    <t>Warning End Track Name</t>
  </si>
  <si>
    <t>Warning End SCAC</t>
  </si>
  <si>
    <t>Warning End Subdiv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</si>
</sst>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18" fontId="0" fillId="0" borderId="9" xfId="0" applyNumberFormat="1" applyBorder="1" applyAlignment="1">
      <alignment horizontal="center"/>
    </xf>
    <xf numFmtId="18" fontId="3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9" xfId="0" quotePrefix="1" applyBorder="1" applyAlignment="1">
      <alignment wrapText="1"/>
    </xf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workbookViewId="0">
      <selection sqref="A1:J11"/>
    </sheetView>
  </sheetViews>
  <sheetFormatPr baseColWidth="10" defaultColWidth="8.83203125" defaultRowHeight="15" x14ac:dyDescent="0.2"/>
  <cols>
    <col min="1" max="1" width="40.1640625" customWidth="1"/>
    <col min="2" max="2" width="39" customWidth="1"/>
    <col min="3" max="3" width="51.5" customWidth="1"/>
  </cols>
  <sheetData>
    <row r="1" spans="1:10" x14ac:dyDescent="0.2">
      <c r="A1" s="16" t="s">
        <v>58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x14ac:dyDescent="0.2">
      <c r="A2" s="19"/>
      <c r="B2" s="20"/>
      <c r="C2" s="20"/>
      <c r="D2" s="20"/>
      <c r="E2" s="20"/>
      <c r="F2" s="20"/>
      <c r="G2" s="20"/>
      <c r="H2" s="20"/>
      <c r="I2" s="20"/>
      <c r="J2" s="21"/>
    </row>
    <row r="3" spans="1:10" x14ac:dyDescent="0.2">
      <c r="A3" s="19"/>
      <c r="B3" s="20"/>
      <c r="C3" s="20"/>
      <c r="D3" s="20"/>
      <c r="E3" s="20"/>
      <c r="F3" s="20"/>
      <c r="G3" s="20"/>
      <c r="H3" s="20"/>
      <c r="I3" s="20"/>
      <c r="J3" s="21"/>
    </row>
    <row r="4" spans="1:10" x14ac:dyDescent="0.2">
      <c r="A4" s="19"/>
      <c r="B4" s="20"/>
      <c r="C4" s="20"/>
      <c r="D4" s="20"/>
      <c r="E4" s="20"/>
      <c r="F4" s="20"/>
      <c r="G4" s="20"/>
      <c r="H4" s="20"/>
      <c r="I4" s="20"/>
      <c r="J4" s="21"/>
    </row>
    <row r="5" spans="1:10" x14ac:dyDescent="0.2">
      <c r="A5" s="19"/>
      <c r="B5" s="20"/>
      <c r="C5" s="20"/>
      <c r="D5" s="20"/>
      <c r="E5" s="20"/>
      <c r="F5" s="20"/>
      <c r="G5" s="20"/>
      <c r="H5" s="20"/>
      <c r="I5" s="20"/>
      <c r="J5" s="21"/>
    </row>
    <row r="6" spans="1:10" x14ac:dyDescent="0.2">
      <c r="A6" s="19"/>
      <c r="B6" s="20"/>
      <c r="C6" s="20"/>
      <c r="D6" s="20"/>
      <c r="E6" s="20"/>
      <c r="F6" s="20"/>
      <c r="G6" s="20"/>
      <c r="H6" s="20"/>
      <c r="I6" s="20"/>
      <c r="J6" s="21"/>
    </row>
    <row r="7" spans="1:10" x14ac:dyDescent="0.2">
      <c r="A7" s="19"/>
      <c r="B7" s="20"/>
      <c r="C7" s="20"/>
      <c r="D7" s="20"/>
      <c r="E7" s="20"/>
      <c r="F7" s="20"/>
      <c r="G7" s="20"/>
      <c r="H7" s="20"/>
      <c r="I7" s="20"/>
      <c r="J7" s="21"/>
    </row>
    <row r="8" spans="1:10" x14ac:dyDescent="0.2">
      <c r="A8" s="19"/>
      <c r="B8" s="20"/>
      <c r="C8" s="20"/>
      <c r="D8" s="20"/>
      <c r="E8" s="20"/>
      <c r="F8" s="20"/>
      <c r="G8" s="20"/>
      <c r="H8" s="20"/>
      <c r="I8" s="20"/>
      <c r="J8" s="21"/>
    </row>
    <row r="9" spans="1:10" x14ac:dyDescent="0.2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spans="1:10" x14ac:dyDescent="0.2">
      <c r="A10" s="19"/>
      <c r="B10" s="20"/>
      <c r="C10" s="20"/>
      <c r="D10" s="20"/>
      <c r="E10" s="20"/>
      <c r="F10" s="20"/>
      <c r="G10" s="20"/>
      <c r="H10" s="20"/>
      <c r="I10" s="20"/>
      <c r="J10" s="21"/>
    </row>
    <row r="11" spans="1:10" ht="16" thickBot="1" x14ac:dyDescent="0.25">
      <c r="A11" s="22"/>
      <c r="B11" s="23"/>
      <c r="C11" s="23"/>
      <c r="D11" s="23"/>
      <c r="E11" s="23"/>
      <c r="F11" s="23"/>
      <c r="G11" s="23"/>
      <c r="H11" s="23"/>
      <c r="I11" s="23"/>
      <c r="J11" s="24"/>
    </row>
    <row r="12" spans="1:10" ht="17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">
      <c r="A13" s="3" t="s">
        <v>1</v>
      </c>
      <c r="B13" s="3" t="s">
        <v>0</v>
      </c>
    </row>
    <row r="14" spans="1:10" x14ac:dyDescent="0.2">
      <c r="A14" s="3" t="s">
        <v>3</v>
      </c>
      <c r="B14" s="3">
        <v>2</v>
      </c>
    </row>
    <row r="15" spans="1:10" x14ac:dyDescent="0.2">
      <c r="A15" s="3" t="s">
        <v>4</v>
      </c>
      <c r="B15" s="3">
        <v>6</v>
      </c>
    </row>
    <row r="16" spans="1:10" x14ac:dyDescent="0.2">
      <c r="A16" s="7" t="s">
        <v>5</v>
      </c>
      <c r="B16" s="7">
        <v>2</v>
      </c>
    </row>
    <row r="17" spans="1:2" x14ac:dyDescent="0.2">
      <c r="A17" s="7"/>
      <c r="B17" s="7"/>
    </row>
    <row r="18" spans="1:2" x14ac:dyDescent="0.2">
      <c r="A18" s="3" t="s">
        <v>0</v>
      </c>
      <c r="B18" s="3">
        <v>10</v>
      </c>
    </row>
    <row r="33" spans="9:9" x14ac:dyDescent="0.2">
      <c r="I33" s="2"/>
    </row>
  </sheetData>
  <mergeCells count="1">
    <mergeCell ref="A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"/>
  <sheetViews>
    <sheetView tabSelected="1" topLeftCell="K1" workbookViewId="0">
      <selection activeCell="U2" sqref="N2:U2"/>
    </sheetView>
  </sheetViews>
  <sheetFormatPr baseColWidth="10" defaultColWidth="8.83203125" defaultRowHeight="15" x14ac:dyDescent="0.2"/>
  <cols>
    <col min="1" max="1" width="21.6640625" bestFit="1" customWidth="1"/>
    <col min="2" max="2" width="7" style="1" bestFit="1" customWidth="1"/>
    <col min="3" max="3" width="10" style="1" bestFit="1" customWidth="1"/>
    <col min="4" max="4" width="9.6640625" style="1" bestFit="1" customWidth="1"/>
    <col min="5" max="5" width="18.1640625" style="1" bestFit="1" customWidth="1"/>
    <col min="6" max="6" width="12.6640625" style="1" customWidth="1"/>
    <col min="7" max="7" width="19" style="8" bestFit="1" customWidth="1"/>
    <col min="8" max="8" width="14" bestFit="1" customWidth="1"/>
    <col min="9" max="9" width="15.33203125" bestFit="1" customWidth="1"/>
    <col min="10" max="10" width="11.83203125" bestFit="1" customWidth="1"/>
    <col min="11" max="11" width="18.1640625" bestFit="1" customWidth="1"/>
    <col min="12" max="12" width="13.1640625" bestFit="1" customWidth="1"/>
    <col min="13" max="13" width="14.5" bestFit="1" customWidth="1"/>
    <col min="14" max="14" width="17.83203125" bestFit="1" customWidth="1"/>
    <col min="15" max="15" width="24.1640625" bestFit="1" customWidth="1"/>
    <col min="16" max="16" width="19.1640625" bestFit="1" customWidth="1"/>
    <col min="17" max="17" width="20.5" bestFit="1" customWidth="1"/>
    <col min="18" max="18" width="17" bestFit="1" customWidth="1"/>
    <col min="19" max="19" width="23.33203125" bestFit="1" customWidth="1"/>
    <col min="20" max="20" width="18.33203125" bestFit="1" customWidth="1"/>
    <col min="21" max="21" width="19.6640625" bestFit="1" customWidth="1"/>
    <col min="22" max="22" width="17.83203125" bestFit="1" customWidth="1"/>
    <col min="23" max="23" width="24.1640625" bestFit="1" customWidth="1"/>
    <col min="24" max="24" width="19.1640625" bestFit="1" customWidth="1"/>
    <col min="25" max="25" width="20.5" bestFit="1" customWidth="1"/>
    <col min="26" max="26" width="17" bestFit="1" customWidth="1"/>
    <col min="27" max="27" width="23.33203125" bestFit="1" customWidth="1"/>
    <col min="28" max="28" width="18.33203125" bestFit="1" customWidth="1"/>
    <col min="29" max="29" width="19.6640625" bestFit="1" customWidth="1"/>
  </cols>
  <sheetData>
    <row r="1" spans="1:29" ht="15" customHeight="1" x14ac:dyDescent="0.2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x14ac:dyDescent="0.2">
      <c r="A2" s="3" t="s">
        <v>47</v>
      </c>
      <c r="B2" s="3" t="s">
        <v>2</v>
      </c>
      <c r="C2" s="3" t="s">
        <v>46</v>
      </c>
      <c r="D2" s="3" t="s">
        <v>1</v>
      </c>
      <c r="E2" s="3" t="s">
        <v>1</v>
      </c>
      <c r="F2" s="3" t="s">
        <v>59</v>
      </c>
      <c r="G2" s="9" t="s">
        <v>60</v>
      </c>
      <c r="H2" s="14" t="s">
        <v>61</v>
      </c>
      <c r="I2" s="14" t="s">
        <v>62</v>
      </c>
      <c r="J2" s="3" t="s">
        <v>63</v>
      </c>
      <c r="K2" s="9" t="s">
        <v>64</v>
      </c>
      <c r="L2" s="14" t="s">
        <v>65</v>
      </c>
      <c r="M2" s="14" t="s">
        <v>66</v>
      </c>
      <c r="N2" s="3" t="s">
        <v>80</v>
      </c>
      <c r="O2" s="9" t="s">
        <v>81</v>
      </c>
      <c r="P2" s="14" t="s">
        <v>82</v>
      </c>
      <c r="Q2" s="14" t="s">
        <v>83</v>
      </c>
      <c r="R2" s="3" t="s">
        <v>84</v>
      </c>
      <c r="S2" s="9" t="s">
        <v>85</v>
      </c>
      <c r="T2" s="14" t="s">
        <v>86</v>
      </c>
      <c r="U2" s="14" t="s">
        <v>87</v>
      </c>
      <c r="V2" s="3" t="s">
        <v>67</v>
      </c>
      <c r="W2" s="9" t="s">
        <v>68</v>
      </c>
      <c r="X2" s="14" t="s">
        <v>69</v>
      </c>
      <c r="Y2" s="14" t="s">
        <v>70</v>
      </c>
      <c r="Z2" s="3" t="s">
        <v>71</v>
      </c>
      <c r="AA2" s="9" t="s">
        <v>72</v>
      </c>
      <c r="AB2" s="14" t="s">
        <v>73</v>
      </c>
      <c r="AC2" s="14" t="s">
        <v>74</v>
      </c>
    </row>
    <row r="3" spans="1:29" x14ac:dyDescent="0.2">
      <c r="A3" s="5" t="s">
        <v>57</v>
      </c>
      <c r="B3" s="3">
        <v>100</v>
      </c>
      <c r="C3" s="3" t="s">
        <v>6</v>
      </c>
      <c r="D3" s="3" t="s">
        <v>45</v>
      </c>
      <c r="E3" s="3" t="s">
        <v>3</v>
      </c>
      <c r="F3">
        <v>123</v>
      </c>
      <c r="G3" s="15" t="s">
        <v>75</v>
      </c>
      <c r="H3" s="14" t="s">
        <v>45</v>
      </c>
      <c r="I3">
        <v>1</v>
      </c>
      <c r="J3">
        <v>123</v>
      </c>
      <c r="K3" s="15" t="s">
        <v>75</v>
      </c>
      <c r="L3" s="14" t="s">
        <v>45</v>
      </c>
      <c r="M3">
        <v>1</v>
      </c>
      <c r="N3">
        <v>1</v>
      </c>
      <c r="O3" s="15" t="s">
        <v>75</v>
      </c>
      <c r="P3" s="14" t="s">
        <v>45</v>
      </c>
      <c r="Q3">
        <v>1</v>
      </c>
      <c r="R3">
        <v>1</v>
      </c>
      <c r="S3" s="15" t="s">
        <v>75</v>
      </c>
      <c r="T3" s="14" t="s">
        <v>45</v>
      </c>
      <c r="U3">
        <v>1</v>
      </c>
      <c r="V3">
        <v>1</v>
      </c>
      <c r="W3" s="15" t="s">
        <v>75</v>
      </c>
      <c r="X3" s="14" t="s">
        <v>45</v>
      </c>
      <c r="Y3">
        <v>1</v>
      </c>
      <c r="Z3">
        <v>1</v>
      </c>
      <c r="AA3" s="15" t="s">
        <v>75</v>
      </c>
      <c r="AB3" s="14" t="s">
        <v>45</v>
      </c>
      <c r="AC3">
        <v>1</v>
      </c>
    </row>
    <row r="4" spans="1:29" x14ac:dyDescent="0.2">
      <c r="A4" s="4" t="s">
        <v>48</v>
      </c>
      <c r="B4" s="3">
        <v>200</v>
      </c>
      <c r="C4" s="3" t="s">
        <v>7</v>
      </c>
      <c r="D4" s="3" t="s">
        <v>45</v>
      </c>
      <c r="E4" s="10" t="s">
        <v>4</v>
      </c>
      <c r="F4">
        <v>16</v>
      </c>
      <c r="G4" s="1" t="s">
        <v>76</v>
      </c>
      <c r="H4" s="14" t="s">
        <v>45</v>
      </c>
      <c r="I4">
        <v>2</v>
      </c>
      <c r="J4">
        <v>16</v>
      </c>
      <c r="K4" s="1" t="s">
        <v>76</v>
      </c>
      <c r="L4" s="14" t="s">
        <v>45</v>
      </c>
      <c r="M4">
        <v>2</v>
      </c>
      <c r="N4">
        <v>2</v>
      </c>
      <c r="O4" s="1" t="s">
        <v>76</v>
      </c>
      <c r="P4" s="14" t="s">
        <v>45</v>
      </c>
      <c r="Q4">
        <v>2</v>
      </c>
      <c r="R4">
        <v>2</v>
      </c>
      <c r="S4" s="1" t="s">
        <v>76</v>
      </c>
      <c r="T4" s="14" t="s">
        <v>45</v>
      </c>
      <c r="U4">
        <v>2</v>
      </c>
      <c r="V4">
        <v>2</v>
      </c>
      <c r="W4" s="1" t="s">
        <v>76</v>
      </c>
      <c r="X4" s="14" t="s">
        <v>45</v>
      </c>
      <c r="Y4">
        <v>2</v>
      </c>
      <c r="Z4">
        <v>2</v>
      </c>
      <c r="AA4" s="1" t="s">
        <v>76</v>
      </c>
      <c r="AB4" s="14" t="s">
        <v>45</v>
      </c>
      <c r="AC4">
        <v>2</v>
      </c>
    </row>
    <row r="5" spans="1:29" x14ac:dyDescent="0.2">
      <c r="A5" s="4" t="s">
        <v>49</v>
      </c>
      <c r="B5" s="3">
        <v>100</v>
      </c>
      <c r="C5" s="3" t="s">
        <v>6</v>
      </c>
      <c r="D5" s="3" t="s">
        <v>45</v>
      </c>
      <c r="E5" s="3" t="s">
        <v>3</v>
      </c>
      <c r="F5">
        <v>45</v>
      </c>
      <c r="G5" s="15" t="s">
        <v>77</v>
      </c>
      <c r="H5" s="14" t="s">
        <v>45</v>
      </c>
      <c r="I5">
        <v>33</v>
      </c>
      <c r="J5">
        <v>45</v>
      </c>
      <c r="K5" s="15" t="s">
        <v>77</v>
      </c>
      <c r="L5" s="14" t="s">
        <v>45</v>
      </c>
      <c r="M5">
        <v>33</v>
      </c>
      <c r="N5">
        <v>34</v>
      </c>
      <c r="O5" s="15" t="s">
        <v>77</v>
      </c>
      <c r="P5" s="14" t="s">
        <v>45</v>
      </c>
      <c r="Q5">
        <v>33</v>
      </c>
      <c r="R5">
        <v>34</v>
      </c>
      <c r="S5" s="15" t="s">
        <v>77</v>
      </c>
      <c r="T5" s="14" t="s">
        <v>45</v>
      </c>
      <c r="U5">
        <v>33</v>
      </c>
      <c r="V5">
        <v>34</v>
      </c>
      <c r="W5" s="15" t="s">
        <v>77</v>
      </c>
      <c r="X5" s="14" t="s">
        <v>45</v>
      </c>
      <c r="Y5">
        <v>33</v>
      </c>
      <c r="Z5">
        <v>34</v>
      </c>
      <c r="AA5" s="15" t="s">
        <v>77</v>
      </c>
      <c r="AB5" s="14" t="s">
        <v>45</v>
      </c>
      <c r="AC5">
        <v>33</v>
      </c>
    </row>
    <row r="6" spans="1:29" x14ac:dyDescent="0.2">
      <c r="A6" s="4" t="s">
        <v>51</v>
      </c>
      <c r="B6" s="3">
        <v>400</v>
      </c>
      <c r="C6" s="3" t="s">
        <v>8</v>
      </c>
      <c r="D6" s="3" t="s">
        <v>45</v>
      </c>
      <c r="E6" s="10" t="s">
        <v>4</v>
      </c>
      <c r="F6">
        <v>22</v>
      </c>
      <c r="G6" s="1" t="s">
        <v>78</v>
      </c>
      <c r="H6" s="14" t="s">
        <v>45</v>
      </c>
      <c r="I6">
        <v>44</v>
      </c>
      <c r="J6">
        <v>22</v>
      </c>
      <c r="K6" s="1" t="s">
        <v>78</v>
      </c>
      <c r="L6" s="14" t="s">
        <v>45</v>
      </c>
      <c r="M6">
        <v>44</v>
      </c>
      <c r="N6">
        <v>45</v>
      </c>
      <c r="O6" s="1" t="s">
        <v>78</v>
      </c>
      <c r="P6" s="14" t="s">
        <v>45</v>
      </c>
      <c r="Q6">
        <v>44</v>
      </c>
      <c r="R6">
        <v>45</v>
      </c>
      <c r="S6" s="1" t="s">
        <v>78</v>
      </c>
      <c r="T6" s="14" t="s">
        <v>45</v>
      </c>
      <c r="U6">
        <v>44</v>
      </c>
      <c r="V6">
        <v>45</v>
      </c>
      <c r="W6" s="1" t="s">
        <v>78</v>
      </c>
      <c r="X6" s="14" t="s">
        <v>45</v>
      </c>
      <c r="Y6">
        <v>44</v>
      </c>
      <c r="Z6">
        <v>45</v>
      </c>
      <c r="AA6" s="1" t="s">
        <v>78</v>
      </c>
      <c r="AB6" s="14" t="s">
        <v>45</v>
      </c>
      <c r="AC6">
        <v>44</v>
      </c>
    </row>
    <row r="7" spans="1:29" x14ac:dyDescent="0.2">
      <c r="A7" s="4" t="s">
        <v>50</v>
      </c>
      <c r="B7" s="3">
        <v>300</v>
      </c>
      <c r="C7" s="3" t="s">
        <v>7</v>
      </c>
      <c r="D7" s="3" t="s">
        <v>45</v>
      </c>
      <c r="E7" s="7" t="s">
        <v>5</v>
      </c>
      <c r="F7">
        <v>32</v>
      </c>
      <c r="G7" s="15" t="s">
        <v>75</v>
      </c>
      <c r="H7" s="14" t="s">
        <v>45</v>
      </c>
      <c r="I7">
        <v>44</v>
      </c>
      <c r="J7">
        <v>32</v>
      </c>
      <c r="K7" s="15" t="s">
        <v>75</v>
      </c>
      <c r="L7" s="14" t="s">
        <v>45</v>
      </c>
      <c r="M7">
        <v>44</v>
      </c>
      <c r="N7">
        <v>44</v>
      </c>
      <c r="O7" s="15" t="s">
        <v>75</v>
      </c>
      <c r="P7" s="14" t="s">
        <v>45</v>
      </c>
      <c r="Q7">
        <v>44</v>
      </c>
      <c r="R7">
        <v>44</v>
      </c>
      <c r="S7" s="15" t="s">
        <v>75</v>
      </c>
      <c r="T7" s="14" t="s">
        <v>45</v>
      </c>
      <c r="U7">
        <v>44</v>
      </c>
      <c r="V7">
        <v>44</v>
      </c>
      <c r="W7" s="15" t="s">
        <v>75</v>
      </c>
      <c r="X7" s="14" t="s">
        <v>45</v>
      </c>
      <c r="Y7">
        <v>44</v>
      </c>
      <c r="Z7">
        <v>44</v>
      </c>
      <c r="AA7" s="15" t="s">
        <v>75</v>
      </c>
      <c r="AB7" s="14" t="s">
        <v>45</v>
      </c>
      <c r="AC7">
        <v>44</v>
      </c>
    </row>
    <row r="8" spans="1:29" x14ac:dyDescent="0.2">
      <c r="A8" s="4" t="s">
        <v>52</v>
      </c>
      <c r="B8" s="3">
        <v>200</v>
      </c>
      <c r="C8" s="3" t="s">
        <v>7</v>
      </c>
      <c r="D8" s="3" t="s">
        <v>45</v>
      </c>
      <c r="E8" s="10" t="s">
        <v>4</v>
      </c>
      <c r="F8">
        <v>38</v>
      </c>
      <c r="G8" s="15" t="s">
        <v>75</v>
      </c>
      <c r="H8" s="14" t="s">
        <v>45</v>
      </c>
      <c r="I8">
        <v>2</v>
      </c>
      <c r="J8">
        <v>38</v>
      </c>
      <c r="K8" s="15" t="s">
        <v>75</v>
      </c>
      <c r="L8" s="14" t="s">
        <v>45</v>
      </c>
      <c r="M8">
        <v>2</v>
      </c>
      <c r="N8">
        <v>3</v>
      </c>
      <c r="O8" s="15" t="s">
        <v>75</v>
      </c>
      <c r="P8" s="14" t="s">
        <v>45</v>
      </c>
      <c r="Q8">
        <v>2</v>
      </c>
      <c r="R8">
        <v>3</v>
      </c>
      <c r="S8" s="15" t="s">
        <v>75</v>
      </c>
      <c r="T8" s="14" t="s">
        <v>45</v>
      </c>
      <c r="U8">
        <v>2</v>
      </c>
      <c r="V8">
        <v>3</v>
      </c>
      <c r="W8" s="15" t="s">
        <v>75</v>
      </c>
      <c r="X8" s="14" t="s">
        <v>45</v>
      </c>
      <c r="Y8">
        <v>2</v>
      </c>
      <c r="Z8">
        <v>3</v>
      </c>
      <c r="AA8" s="15" t="s">
        <v>75</v>
      </c>
      <c r="AB8" s="14" t="s">
        <v>45</v>
      </c>
      <c r="AC8">
        <v>2</v>
      </c>
    </row>
    <row r="9" spans="1:29" x14ac:dyDescent="0.2">
      <c r="A9" s="4" t="s">
        <v>53</v>
      </c>
      <c r="B9" s="3">
        <v>200</v>
      </c>
      <c r="C9" s="3" t="s">
        <v>6</v>
      </c>
      <c r="D9" s="3" t="s">
        <v>45</v>
      </c>
      <c r="E9" s="3" t="s">
        <v>4</v>
      </c>
      <c r="F9">
        <v>1</v>
      </c>
      <c r="G9" s="1" t="s">
        <v>76</v>
      </c>
      <c r="H9" s="14" t="s">
        <v>45</v>
      </c>
      <c r="I9">
        <v>3</v>
      </c>
      <c r="J9">
        <v>1</v>
      </c>
      <c r="K9" s="1" t="s">
        <v>76</v>
      </c>
      <c r="L9" s="14" t="s">
        <v>45</v>
      </c>
      <c r="M9">
        <v>3</v>
      </c>
      <c r="N9">
        <v>3</v>
      </c>
      <c r="O9" s="1" t="s">
        <v>76</v>
      </c>
      <c r="P9" s="14" t="s">
        <v>45</v>
      </c>
      <c r="Q9">
        <v>3</v>
      </c>
      <c r="R9">
        <v>3</v>
      </c>
      <c r="S9" s="1" t="s">
        <v>76</v>
      </c>
      <c r="T9" s="14" t="s">
        <v>45</v>
      </c>
      <c r="U9">
        <v>3</v>
      </c>
      <c r="V9">
        <v>3</v>
      </c>
      <c r="W9" s="1" t="s">
        <v>76</v>
      </c>
      <c r="X9" s="14" t="s">
        <v>45</v>
      </c>
      <c r="Y9">
        <v>3</v>
      </c>
      <c r="Z9">
        <v>3</v>
      </c>
      <c r="AA9" s="1" t="s">
        <v>76</v>
      </c>
      <c r="AB9" s="14" t="s">
        <v>45</v>
      </c>
      <c r="AC9">
        <v>3</v>
      </c>
    </row>
    <row r="10" spans="1:29" x14ac:dyDescent="0.2">
      <c r="A10" s="4" t="s">
        <v>54</v>
      </c>
      <c r="B10" s="3">
        <v>300</v>
      </c>
      <c r="C10" s="3" t="s">
        <v>9</v>
      </c>
      <c r="D10" s="3" t="s">
        <v>45</v>
      </c>
      <c r="E10" s="7" t="s">
        <v>5</v>
      </c>
      <c r="F10">
        <v>12</v>
      </c>
      <c r="G10" s="15" t="s">
        <v>77</v>
      </c>
      <c r="H10" s="14" t="s">
        <v>45</v>
      </c>
      <c r="I10">
        <v>4</v>
      </c>
      <c r="J10">
        <v>12</v>
      </c>
      <c r="K10" s="15" t="s">
        <v>77</v>
      </c>
      <c r="L10" s="14" t="s">
        <v>45</v>
      </c>
      <c r="M10">
        <v>4</v>
      </c>
      <c r="N10">
        <v>5</v>
      </c>
      <c r="O10" s="15" t="s">
        <v>77</v>
      </c>
      <c r="P10" s="14" t="s">
        <v>45</v>
      </c>
      <c r="Q10">
        <v>4</v>
      </c>
      <c r="R10">
        <v>5</v>
      </c>
      <c r="S10" s="15" t="s">
        <v>77</v>
      </c>
      <c r="T10" s="14" t="s">
        <v>45</v>
      </c>
      <c r="U10">
        <v>4</v>
      </c>
      <c r="V10">
        <v>5</v>
      </c>
      <c r="W10" s="15" t="s">
        <v>77</v>
      </c>
      <c r="X10" s="14" t="s">
        <v>45</v>
      </c>
      <c r="Y10">
        <v>4</v>
      </c>
      <c r="Z10">
        <v>5</v>
      </c>
      <c r="AA10" s="15" t="s">
        <v>77</v>
      </c>
      <c r="AB10" s="14" t="s">
        <v>45</v>
      </c>
      <c r="AC10">
        <v>4</v>
      </c>
    </row>
    <row r="11" spans="1:29" x14ac:dyDescent="0.2">
      <c r="A11" s="4" t="s">
        <v>55</v>
      </c>
      <c r="B11" s="3">
        <v>300</v>
      </c>
      <c r="C11" s="3" t="s">
        <v>10</v>
      </c>
      <c r="D11" s="3" t="s">
        <v>45</v>
      </c>
      <c r="E11" s="10" t="s">
        <v>4</v>
      </c>
      <c r="F11">
        <v>12</v>
      </c>
      <c r="G11" s="1" t="s">
        <v>78</v>
      </c>
      <c r="H11" s="14" t="s">
        <v>45</v>
      </c>
      <c r="I11">
        <v>3</v>
      </c>
      <c r="J11">
        <v>12</v>
      </c>
      <c r="K11" s="1" t="s">
        <v>78</v>
      </c>
      <c r="L11" s="14" t="s">
        <v>45</v>
      </c>
      <c r="M11">
        <v>3</v>
      </c>
      <c r="N11">
        <v>3</v>
      </c>
      <c r="O11" s="1" t="s">
        <v>78</v>
      </c>
      <c r="P11" s="14" t="s">
        <v>45</v>
      </c>
      <c r="Q11">
        <v>3</v>
      </c>
      <c r="R11">
        <v>3</v>
      </c>
      <c r="S11" s="1" t="s">
        <v>78</v>
      </c>
      <c r="T11" s="14" t="s">
        <v>45</v>
      </c>
      <c r="U11">
        <v>3</v>
      </c>
      <c r="V11">
        <v>3</v>
      </c>
      <c r="W11" s="1" t="s">
        <v>78</v>
      </c>
      <c r="X11" s="14" t="s">
        <v>45</v>
      </c>
      <c r="Y11">
        <v>3</v>
      </c>
      <c r="Z11">
        <v>3</v>
      </c>
      <c r="AA11" s="1" t="s">
        <v>78</v>
      </c>
      <c r="AB11" s="14" t="s">
        <v>45</v>
      </c>
      <c r="AC11">
        <v>3</v>
      </c>
    </row>
    <row r="12" spans="1:29" x14ac:dyDescent="0.2">
      <c r="A12" s="4" t="s">
        <v>56</v>
      </c>
      <c r="B12" s="3">
        <v>300</v>
      </c>
      <c r="C12" s="3" t="s">
        <v>11</v>
      </c>
      <c r="D12" s="3" t="s">
        <v>45</v>
      </c>
      <c r="E12" s="10" t="s">
        <v>4</v>
      </c>
      <c r="F12">
        <v>1</v>
      </c>
      <c r="G12" s="15" t="s">
        <v>75</v>
      </c>
      <c r="H12" s="14" t="s">
        <v>45</v>
      </c>
      <c r="I12">
        <v>2</v>
      </c>
      <c r="J12">
        <v>1</v>
      </c>
      <c r="K12" s="15" t="s">
        <v>75</v>
      </c>
      <c r="L12" s="14" t="s">
        <v>45</v>
      </c>
      <c r="M12">
        <v>2</v>
      </c>
      <c r="N12">
        <v>2</v>
      </c>
      <c r="O12" s="15" t="s">
        <v>75</v>
      </c>
      <c r="P12" s="14" t="s">
        <v>45</v>
      </c>
      <c r="Q12">
        <v>2</v>
      </c>
      <c r="R12">
        <v>2</v>
      </c>
      <c r="S12" s="15" t="s">
        <v>75</v>
      </c>
      <c r="T12" s="14" t="s">
        <v>45</v>
      </c>
      <c r="U12">
        <v>2</v>
      </c>
      <c r="V12">
        <v>2</v>
      </c>
      <c r="W12" s="15" t="s">
        <v>75</v>
      </c>
      <c r="X12" s="14" t="s">
        <v>45</v>
      </c>
      <c r="Y12">
        <v>2</v>
      </c>
      <c r="Z12">
        <v>2</v>
      </c>
      <c r="AA12" s="15" t="s">
        <v>75</v>
      </c>
      <c r="AB12" s="14" t="s">
        <v>45</v>
      </c>
      <c r="AC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6"/>
  <sheetViews>
    <sheetView workbookViewId="0">
      <selection activeCell="I1" sqref="I1:I1048576"/>
    </sheetView>
  </sheetViews>
  <sheetFormatPr baseColWidth="10" defaultColWidth="9.1640625" defaultRowHeight="15" x14ac:dyDescent="0.2"/>
  <cols>
    <col min="1" max="1" width="23.83203125" style="11" customWidth="1"/>
    <col min="2" max="2" width="9.1640625" style="11"/>
    <col min="3" max="3" width="12.83203125" style="11" customWidth="1"/>
    <col min="4" max="4" width="35.5" style="11" customWidth="1"/>
    <col min="5" max="6" width="9.1640625" style="11"/>
    <col min="7" max="7" width="25.33203125" style="11" customWidth="1"/>
    <col min="8" max="8" width="12.5" style="11" customWidth="1"/>
    <col min="9" max="12" width="9.1640625" style="11"/>
    <col min="13" max="13" width="18" style="11" customWidth="1"/>
    <col min="14" max="14" width="9.1640625" style="11"/>
    <col min="15" max="15" width="11.5" style="11" customWidth="1"/>
    <col min="16" max="19" width="9.1640625" style="11"/>
    <col min="20" max="20" width="22" style="11" customWidth="1"/>
    <col min="21" max="24" width="9.1640625" style="11"/>
    <col min="25" max="25" width="15.83203125" style="11" customWidth="1"/>
    <col min="26" max="26" width="12.83203125" style="11" customWidth="1"/>
    <col min="27" max="27" width="12" style="11" customWidth="1"/>
    <col min="28" max="31" width="9.1640625" style="11"/>
    <col min="32" max="32" width="13.6640625" style="11" customWidth="1"/>
    <col min="33" max="37" width="9.1640625" style="11"/>
    <col min="38" max="38" width="13.1640625" style="11" customWidth="1"/>
    <col min="39" max="39" width="13.5" style="11" customWidth="1"/>
    <col min="40" max="50" width="9.1640625" style="11"/>
    <col min="51" max="51" width="12" style="11" customWidth="1"/>
    <col min="52" max="52" width="13.33203125" style="11" customWidth="1"/>
    <col min="53" max="16384" width="9.1640625" style="11"/>
  </cols>
  <sheetData>
    <row r="1" spans="1:55" ht="64" x14ac:dyDescent="0.2">
      <c r="A1" s="12" t="s">
        <v>12</v>
      </c>
      <c r="B1" s="12" t="s">
        <v>2</v>
      </c>
      <c r="C1" s="12" t="s">
        <v>44</v>
      </c>
      <c r="D1" s="12" t="s">
        <v>13</v>
      </c>
      <c r="E1" s="12" t="s">
        <v>14</v>
      </c>
      <c r="F1" s="12" t="s">
        <v>15</v>
      </c>
      <c r="G1" s="12" t="s">
        <v>1</v>
      </c>
      <c r="H1" s="12" t="s">
        <v>16</v>
      </c>
      <c r="I1" s="12" t="s">
        <v>17</v>
      </c>
      <c r="J1" s="12" t="s">
        <v>18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  <c r="S1" s="12" t="s">
        <v>28</v>
      </c>
      <c r="T1" s="12" t="s">
        <v>29</v>
      </c>
      <c r="U1" s="12" t="s">
        <v>17</v>
      </c>
      <c r="V1" s="12" t="s">
        <v>18</v>
      </c>
      <c r="W1" s="12" t="s">
        <v>20</v>
      </c>
      <c r="X1" s="12" t="s">
        <v>21</v>
      </c>
      <c r="Y1" s="12" t="s">
        <v>22</v>
      </c>
      <c r="Z1" s="12" t="s">
        <v>30</v>
      </c>
      <c r="AA1" s="12" t="s">
        <v>31</v>
      </c>
      <c r="AB1" s="12" t="s">
        <v>32</v>
      </c>
      <c r="AC1" s="12" t="s">
        <v>26</v>
      </c>
      <c r="AD1" s="12" t="s">
        <v>27</v>
      </c>
      <c r="AE1" s="12" t="s">
        <v>28</v>
      </c>
      <c r="AF1" s="12" t="s">
        <v>33</v>
      </c>
      <c r="AG1" s="12" t="s">
        <v>17</v>
      </c>
      <c r="AH1" s="12" t="s">
        <v>18</v>
      </c>
      <c r="AI1" s="12" t="s">
        <v>20</v>
      </c>
      <c r="AJ1" s="12" t="s">
        <v>21</v>
      </c>
      <c r="AK1" s="12" t="s">
        <v>22</v>
      </c>
      <c r="AL1" s="12" t="s">
        <v>30</v>
      </c>
      <c r="AM1" s="12" t="s">
        <v>24</v>
      </c>
      <c r="AN1" s="12" t="s">
        <v>32</v>
      </c>
      <c r="AO1" s="12" t="s">
        <v>26</v>
      </c>
      <c r="AP1" s="12" t="s">
        <v>27</v>
      </c>
      <c r="AQ1" s="12" t="s">
        <v>28</v>
      </c>
      <c r="AR1" s="12" t="s">
        <v>12</v>
      </c>
      <c r="AS1" s="12" t="s">
        <v>34</v>
      </c>
      <c r="AT1" s="12" t="s">
        <v>35</v>
      </c>
      <c r="AU1" s="12" t="s">
        <v>35</v>
      </c>
      <c r="AV1" s="12" t="s">
        <v>36</v>
      </c>
      <c r="AW1" s="12" t="s">
        <v>37</v>
      </c>
      <c r="AX1" s="12" t="s">
        <v>22</v>
      </c>
      <c r="AY1" s="12" t="s">
        <v>38</v>
      </c>
      <c r="AZ1" s="12" t="s">
        <v>39</v>
      </c>
      <c r="BA1" s="12" t="s">
        <v>26</v>
      </c>
      <c r="BB1" s="12" t="s">
        <v>27</v>
      </c>
      <c r="BC1" s="12" t="s">
        <v>28</v>
      </c>
    </row>
    <row r="2" spans="1:55" ht="32" x14ac:dyDescent="0.2">
      <c r="A2" s="5" t="s">
        <v>57</v>
      </c>
      <c r="B2" s="3">
        <v>100</v>
      </c>
      <c r="C2" s="3" t="s">
        <v>6</v>
      </c>
      <c r="D2" s="12" t="s">
        <v>40</v>
      </c>
      <c r="E2" s="12">
        <v>3</v>
      </c>
      <c r="F2" s="12" t="s">
        <v>42</v>
      </c>
      <c r="G2" s="3" t="s">
        <v>3</v>
      </c>
      <c r="H2" s="12" t="s">
        <v>43</v>
      </c>
      <c r="I2" s="12">
        <f>100</f>
        <v>100</v>
      </c>
      <c r="J2" s="13" t="s">
        <v>19</v>
      </c>
      <c r="K2" s="12"/>
      <c r="L2" s="12"/>
      <c r="M2" s="3" t="s">
        <v>45</v>
      </c>
      <c r="N2" s="12">
        <v>2</v>
      </c>
      <c r="O2" s="12">
        <v>0</v>
      </c>
      <c r="P2" s="12"/>
      <c r="Q2" s="12"/>
      <c r="R2" s="12"/>
      <c r="S2" s="12"/>
      <c r="T2" s="5" t="s">
        <v>57</v>
      </c>
      <c r="U2" s="12">
        <f>100</f>
        <v>100</v>
      </c>
      <c r="V2" s="12"/>
      <c r="W2" s="12"/>
      <c r="X2" s="12"/>
      <c r="Y2" s="12" t="s">
        <v>45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</row>
    <row r="3" spans="1:55" ht="32" x14ac:dyDescent="0.2">
      <c r="A3" s="4" t="s">
        <v>48</v>
      </c>
      <c r="B3" s="3">
        <v>200</v>
      </c>
      <c r="C3" s="3" t="s">
        <v>7</v>
      </c>
      <c r="D3" s="12" t="s">
        <v>41</v>
      </c>
      <c r="E3" s="12">
        <v>3</v>
      </c>
      <c r="F3" s="12" t="s">
        <v>42</v>
      </c>
      <c r="G3" s="10" t="s">
        <v>4</v>
      </c>
      <c r="H3" s="12" t="s">
        <v>43</v>
      </c>
      <c r="I3" s="12">
        <f>I2+50</f>
        <v>150</v>
      </c>
      <c r="J3" s="12"/>
      <c r="K3" s="12"/>
      <c r="L3" s="12"/>
      <c r="M3" s="3" t="s">
        <v>45</v>
      </c>
      <c r="N3" s="12">
        <v>2</v>
      </c>
      <c r="O3" s="12">
        <v>0</v>
      </c>
      <c r="P3" s="12"/>
      <c r="Q3" s="12"/>
      <c r="R3" s="12"/>
      <c r="S3" s="12"/>
      <c r="T3" s="4" t="s">
        <v>48</v>
      </c>
      <c r="U3" s="12">
        <f>U2+50</f>
        <v>150</v>
      </c>
      <c r="V3" s="12"/>
      <c r="W3" s="12"/>
      <c r="X3" s="12"/>
      <c r="Y3" s="12" t="s">
        <v>45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 spans="1:55" ht="32" x14ac:dyDescent="0.2">
      <c r="A4" s="4" t="s">
        <v>49</v>
      </c>
      <c r="B4" s="3">
        <v>100</v>
      </c>
      <c r="C4" s="3" t="s">
        <v>6</v>
      </c>
      <c r="D4" s="12" t="s">
        <v>41</v>
      </c>
      <c r="E4" s="12">
        <v>3</v>
      </c>
      <c r="F4" s="12" t="s">
        <v>42</v>
      </c>
      <c r="G4" s="3" t="s">
        <v>3</v>
      </c>
      <c r="H4" s="12" t="s">
        <v>43</v>
      </c>
      <c r="I4" s="12">
        <f t="shared" ref="I4:I11" si="0">I3+50</f>
        <v>200</v>
      </c>
      <c r="J4" s="12"/>
      <c r="K4" s="12"/>
      <c r="L4" s="12"/>
      <c r="M4" s="3" t="s">
        <v>45</v>
      </c>
      <c r="N4" s="12">
        <v>2</v>
      </c>
      <c r="O4" s="12">
        <v>0</v>
      </c>
      <c r="P4" s="12"/>
      <c r="Q4" s="12"/>
      <c r="R4" s="12"/>
      <c r="S4" s="12"/>
      <c r="T4" s="4" t="s">
        <v>49</v>
      </c>
      <c r="U4" s="12">
        <f t="shared" ref="U4:U11" si="1">U3+50</f>
        <v>200</v>
      </c>
      <c r="V4" s="12"/>
      <c r="W4" s="12"/>
      <c r="X4" s="12"/>
      <c r="Y4" s="12" t="s">
        <v>45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  <row r="5" spans="1:55" ht="32" x14ac:dyDescent="0.2">
      <c r="A5" s="4" t="s">
        <v>51</v>
      </c>
      <c r="B5" s="3">
        <v>400</v>
      </c>
      <c r="C5" s="3" t="s">
        <v>8</v>
      </c>
      <c r="D5" s="12" t="s">
        <v>40</v>
      </c>
      <c r="E5" s="12">
        <v>3</v>
      </c>
      <c r="F5" s="12" t="s">
        <v>42</v>
      </c>
      <c r="G5" s="10" t="s">
        <v>4</v>
      </c>
      <c r="H5" s="12" t="s">
        <v>43</v>
      </c>
      <c r="I5" s="12">
        <f t="shared" si="0"/>
        <v>250</v>
      </c>
      <c r="J5" s="12"/>
      <c r="K5" s="12"/>
      <c r="L5" s="12"/>
      <c r="M5" s="3" t="s">
        <v>45</v>
      </c>
      <c r="N5" s="12">
        <v>3</v>
      </c>
      <c r="O5" s="12">
        <v>0</v>
      </c>
      <c r="P5" s="12"/>
      <c r="Q5" s="12"/>
      <c r="R5" s="12"/>
      <c r="S5" s="12"/>
      <c r="T5" s="4" t="s">
        <v>51</v>
      </c>
      <c r="U5" s="12">
        <f t="shared" si="1"/>
        <v>250</v>
      </c>
      <c r="V5" s="12"/>
      <c r="W5" s="12"/>
      <c r="X5" s="12"/>
      <c r="Y5" s="12" t="s">
        <v>45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ht="32" x14ac:dyDescent="0.2">
      <c r="A6" s="4" t="s">
        <v>50</v>
      </c>
      <c r="B6" s="3">
        <v>300</v>
      </c>
      <c r="C6" s="3" t="s">
        <v>7</v>
      </c>
      <c r="D6" s="12" t="s">
        <v>41</v>
      </c>
      <c r="E6" s="12">
        <v>3</v>
      </c>
      <c r="F6" s="12" t="s">
        <v>42</v>
      </c>
      <c r="G6" s="7" t="s">
        <v>5</v>
      </c>
      <c r="H6" s="12" t="s">
        <v>43</v>
      </c>
      <c r="I6" s="12">
        <f t="shared" si="0"/>
        <v>300</v>
      </c>
      <c r="J6" s="12"/>
      <c r="K6" s="12"/>
      <c r="L6" s="12"/>
      <c r="M6" s="3" t="s">
        <v>45</v>
      </c>
      <c r="N6" s="12">
        <v>3</v>
      </c>
      <c r="O6" s="12">
        <v>0</v>
      </c>
      <c r="P6" s="12"/>
      <c r="Q6" s="12"/>
      <c r="R6" s="12"/>
      <c r="S6" s="12"/>
      <c r="T6" s="4" t="s">
        <v>50</v>
      </c>
      <c r="U6" s="12">
        <f t="shared" si="1"/>
        <v>300</v>
      </c>
      <c r="V6" s="12"/>
      <c r="W6" s="12"/>
      <c r="X6" s="12"/>
      <c r="Y6" s="12" t="s">
        <v>45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pans="1:55" ht="32" x14ac:dyDescent="0.2">
      <c r="A7" s="4" t="s">
        <v>52</v>
      </c>
      <c r="B7" s="3">
        <v>200</v>
      </c>
      <c r="C7" s="3" t="s">
        <v>7</v>
      </c>
      <c r="D7" s="12" t="s">
        <v>40</v>
      </c>
      <c r="E7" s="12">
        <v>3</v>
      </c>
      <c r="F7" s="12" t="s">
        <v>42</v>
      </c>
      <c r="G7" s="10" t="s">
        <v>4</v>
      </c>
      <c r="H7" s="12" t="s">
        <v>43</v>
      </c>
      <c r="I7" s="12">
        <f t="shared" si="0"/>
        <v>350</v>
      </c>
      <c r="J7" s="12"/>
      <c r="K7" s="12"/>
      <c r="L7" s="12"/>
      <c r="M7" s="3" t="s">
        <v>45</v>
      </c>
      <c r="N7" s="12">
        <v>3</v>
      </c>
      <c r="O7" s="12">
        <v>0</v>
      </c>
      <c r="P7" s="12"/>
      <c r="Q7" s="12"/>
      <c r="R7" s="12"/>
      <c r="S7" s="12"/>
      <c r="T7" s="4" t="s">
        <v>52</v>
      </c>
      <c r="U7" s="12">
        <f t="shared" si="1"/>
        <v>350</v>
      </c>
      <c r="V7" s="12"/>
      <c r="W7" s="12"/>
      <c r="X7" s="12"/>
      <c r="Y7" s="12" t="s">
        <v>45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</row>
    <row r="8" spans="1:55" ht="32" x14ac:dyDescent="0.2">
      <c r="A8" s="4" t="s">
        <v>53</v>
      </c>
      <c r="B8" s="3">
        <v>200</v>
      </c>
      <c r="C8" s="3" t="s">
        <v>6</v>
      </c>
      <c r="D8" s="12" t="s">
        <v>41</v>
      </c>
      <c r="E8" s="12">
        <v>3</v>
      </c>
      <c r="F8" s="12" t="s">
        <v>42</v>
      </c>
      <c r="G8" s="3" t="s">
        <v>4</v>
      </c>
      <c r="H8" s="12" t="s">
        <v>43</v>
      </c>
      <c r="I8" s="12">
        <f t="shared" si="0"/>
        <v>400</v>
      </c>
      <c r="J8" s="12"/>
      <c r="K8" s="12"/>
      <c r="L8" s="12"/>
      <c r="M8" s="3" t="s">
        <v>45</v>
      </c>
      <c r="N8" s="12">
        <v>4</v>
      </c>
      <c r="O8" s="12">
        <v>0</v>
      </c>
      <c r="P8" s="12"/>
      <c r="Q8" s="12"/>
      <c r="R8" s="12"/>
      <c r="S8" s="12"/>
      <c r="T8" s="4" t="s">
        <v>53</v>
      </c>
      <c r="U8" s="12">
        <f t="shared" si="1"/>
        <v>400</v>
      </c>
      <c r="V8" s="12"/>
      <c r="W8" s="12"/>
      <c r="X8" s="12"/>
      <c r="Y8" s="12" t="s">
        <v>45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spans="1:55" ht="32" x14ac:dyDescent="0.2">
      <c r="A9" s="4" t="s">
        <v>54</v>
      </c>
      <c r="B9" s="3">
        <v>300</v>
      </c>
      <c r="C9" s="3" t="s">
        <v>9</v>
      </c>
      <c r="D9" s="12" t="s">
        <v>41</v>
      </c>
      <c r="E9" s="12">
        <v>3</v>
      </c>
      <c r="F9" s="12" t="s">
        <v>42</v>
      </c>
      <c r="G9" s="7" t="s">
        <v>5</v>
      </c>
      <c r="H9" s="12" t="s">
        <v>43</v>
      </c>
      <c r="I9" s="12">
        <f t="shared" si="0"/>
        <v>450</v>
      </c>
      <c r="J9" s="12"/>
      <c r="K9" s="12"/>
      <c r="L9" s="12"/>
      <c r="M9" s="3" t="s">
        <v>45</v>
      </c>
      <c r="N9" s="12">
        <v>4</v>
      </c>
      <c r="O9" s="12">
        <v>0</v>
      </c>
      <c r="P9" s="12"/>
      <c r="Q9" s="12"/>
      <c r="R9" s="12"/>
      <c r="S9" s="12"/>
      <c r="T9" s="4" t="s">
        <v>54</v>
      </c>
      <c r="U9" s="12">
        <f t="shared" si="1"/>
        <v>450</v>
      </c>
      <c r="V9" s="12"/>
      <c r="W9" s="12"/>
      <c r="X9" s="12"/>
      <c r="Y9" s="12" t="s">
        <v>45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:55" ht="32" x14ac:dyDescent="0.2">
      <c r="A10" s="4" t="s">
        <v>55</v>
      </c>
      <c r="B10" s="3">
        <v>300</v>
      </c>
      <c r="C10" s="3" t="s">
        <v>10</v>
      </c>
      <c r="D10" s="12" t="s">
        <v>40</v>
      </c>
      <c r="E10" s="12">
        <v>3</v>
      </c>
      <c r="F10" s="12" t="s">
        <v>42</v>
      </c>
      <c r="G10" s="10" t="s">
        <v>4</v>
      </c>
      <c r="H10" s="12" t="s">
        <v>43</v>
      </c>
      <c r="I10" s="12">
        <f t="shared" si="0"/>
        <v>500</v>
      </c>
      <c r="J10" s="12"/>
      <c r="K10" s="12"/>
      <c r="L10" s="12"/>
      <c r="M10" s="3" t="s">
        <v>45</v>
      </c>
      <c r="N10" s="12">
        <v>4</v>
      </c>
      <c r="O10" s="12">
        <v>0</v>
      </c>
      <c r="P10" s="12"/>
      <c r="Q10" s="12"/>
      <c r="R10" s="12"/>
      <c r="S10" s="12"/>
      <c r="T10" s="4" t="s">
        <v>55</v>
      </c>
      <c r="U10" s="12">
        <f t="shared" si="1"/>
        <v>500</v>
      </c>
      <c r="V10" s="12"/>
      <c r="W10" s="12"/>
      <c r="X10" s="12"/>
      <c r="Y10" s="12" t="s">
        <v>45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</row>
    <row r="11" spans="1:55" ht="32" x14ac:dyDescent="0.2">
      <c r="A11" s="4" t="s">
        <v>56</v>
      </c>
      <c r="B11" s="3">
        <v>300</v>
      </c>
      <c r="C11" s="3" t="s">
        <v>11</v>
      </c>
      <c r="D11" s="12" t="s">
        <v>41</v>
      </c>
      <c r="E11" s="12">
        <v>3</v>
      </c>
      <c r="F11" s="12" t="s">
        <v>42</v>
      </c>
      <c r="G11" s="10" t="s">
        <v>4</v>
      </c>
      <c r="H11" s="12" t="s">
        <v>43</v>
      </c>
      <c r="I11" s="12">
        <f t="shared" si="0"/>
        <v>550</v>
      </c>
      <c r="J11" s="12"/>
      <c r="K11" s="12"/>
      <c r="L11" s="12"/>
      <c r="M11" s="3" t="s">
        <v>45</v>
      </c>
      <c r="N11" s="12">
        <v>4</v>
      </c>
      <c r="O11" s="12">
        <v>0</v>
      </c>
      <c r="P11" s="12"/>
      <c r="Q11" s="12"/>
      <c r="R11" s="12"/>
      <c r="S11" s="12"/>
      <c r="T11" s="4" t="s">
        <v>56</v>
      </c>
      <c r="U11" s="12">
        <f t="shared" si="1"/>
        <v>550</v>
      </c>
      <c r="V11" s="12"/>
      <c r="W11" s="12"/>
      <c r="X11" s="12"/>
      <c r="Y11" s="12" t="s">
        <v>45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</row>
    <row r="12" spans="1:5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</row>
    <row r="13" spans="1:55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</row>
    <row r="14" spans="1:55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spans="1:55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Summary of Enforcements</vt:lpstr>
      <vt:lpstr>Each 2083 Received by 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 IMS</dc:creator>
  <cp:lastModifiedBy>Pete Kofod</cp:lastModifiedBy>
  <dcterms:created xsi:type="dcterms:W3CDTF">2020-08-06T17:34:46Z</dcterms:created>
  <dcterms:modified xsi:type="dcterms:W3CDTF">2020-11-18T02:21:11Z</dcterms:modified>
</cp:coreProperties>
</file>